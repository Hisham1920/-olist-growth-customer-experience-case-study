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a7c86041c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Inputs" sheetId="1" r:id="Rb67031978c5e4c27"/>
    <x:sheet xmlns:r="http://schemas.openxmlformats.org/officeDocument/2006/relationships" name="Executive Summary" sheetId="2" r:id="R4793b561a29a40b2"/>
    <x:sheet xmlns:r="http://schemas.openxmlformats.org/officeDocument/2006/relationships" name="Delay Impact" sheetId="3" r:id="R968bebd240ce4e7b"/>
    <x:sheet xmlns:r="http://schemas.openxmlformats.org/officeDocument/2006/relationships" name="Category Performance" sheetId="4" r:id="R3919aa8e21d246c4"/>
    <x:sheet xmlns:r="http://schemas.openxmlformats.org/officeDocument/2006/relationships" name="State Performance" sheetId="5" r:id="R98972588a8da4f7b"/>
    <x:sheet xmlns:r="http://schemas.openxmlformats.org/officeDocument/2006/relationships" name="Seller Risk" sheetId="6" r:id="R22519e7ab0394352"/>
    <x:sheet xmlns:r="http://schemas.openxmlformats.org/officeDocument/2006/relationships" name="Monthly Trend" sheetId="7" r:id="R68d3217432a649ec"/>
    <x:sheet xmlns:r="http://schemas.openxmlformats.org/officeDocument/2006/relationships" name="Methodology" sheetId="8" r:id="R17992886e2cd48e9"/>
  </x:sheets>
</x:workbook>
</file>

<file path=xl/comments1.xml><?xml version="1.0" encoding="utf-8"?>
<x:comments xmlns:x="http://schemas.openxmlformats.org/spreadsheetml/2006/main">
  <x:authors>
    <x:author>tc={95C1FEAB-3B11-AB94-1728-4CE045F86B80}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GMV is merchandise value, not Olist revenue or profit. The dataset does not disclose commission, margin, or operating cost.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[$R$-pt-BR]#,##0.00"/>
    <x:numFmt numFmtId="202" formatCode="0.00"/>
    <x:numFmt numFmtId="203" formatCode="0.00%"/>
    <x:numFmt numFmtId="204" formatCode="[$R$-pt-BR]#,##0.0,,&quot;M&quot;"/>
    <x:numFmt numFmtId="205" formatCode="0.0%"/>
    <x:numFmt numFmtId="206" formatCode="0.0"/>
    <x:numFmt numFmtId="207" formatCode="[$R$-pt-BR]#,##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3A"/>
      <x:name val="Carlito"/>
    </x:font>
    <x:font>
      <x:b/>
      <x:sz val="10"/>
      <x:color rgb="FFFFFFFF"/>
      <x:name val="Carlito"/>
    </x:font>
    <x:font>
      <x:sz val="10"/>
      <x:color rgb="FF0B1F3A"/>
      <x:name val="Carlito"/>
    </x:font>
    <x:font>
      <x:b/>
      <x:sz val="20"/>
      <x:color rgb="FF0B1F3A"/>
      <x:name val="Carlito"/>
    </x:font>
    <x:font>
      <x:b/>
      <x:sz val="11"/>
      <x:color rgb="FFFFFFFF"/>
      <x:name val="Carlito"/>
    </x:font>
    <x:font>
      <x:b/>
      <x:sz val="11"/>
      <x:color rgb="FF0B1F3A"/>
      <x:name val="Carlito"/>
    </x:font>
    <x:font>
      <x:sz val="11"/>
      <x:color rgb="FF0B1F3A"/>
      <x:name val="Carlito"/>
    </x:font>
    <x:font>
      <x:b/>
      <x:sz val="10"/>
      <x:color rgb="FF0B1F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0B1F3A"/>
      </x:left>
      <x:top style="thin">
        <x:color rgb="FF0B1F3A"/>
      </x:top>
      <x:bottom style="thin">
        <x:color rgb="FF0B1F3A"/>
      </x:bottom>
    </x:border>
    <x:border>
      <x:top style="thin">
        <x:color rgb="FF0B1F3A"/>
      </x:top>
      <x:bottom style="thin">
        <x:color rgb="FF0B1F3A"/>
      </x:bottom>
    </x:border>
    <x:border>
      <x:right style="thin">
        <x:color rgb="FF0B1F3A"/>
      </x:right>
      <x:top style="thin">
        <x:color rgb="FF0B1F3A"/>
      </x:top>
      <x:bottom style="thin">
        <x:color rgb="FF0B1F3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1F4E78"/>
      </x:left>
      <x:top style="thin">
        <x:color rgb="FF1F4E78"/>
      </x:top>
    </x:border>
    <x:border>
      <x:right style="thin">
        <x:color rgb="FF1F4E78"/>
      </x:right>
      <x:top style="thin">
        <x:color rgb="FF1F4E78"/>
      </x:top>
    </x:border>
    <x:border>
      <x:left style="thin">
        <x:color rgb="FF1F4E78"/>
      </x:left>
      <x:bottom style="thin">
        <x:color rgb="FF1F4E78"/>
      </x:bottom>
    </x:border>
    <x:border>
      <x:right style="thin">
        <x:color rgb="FF1F4E78"/>
      </x:right>
      <x:bottom style="thin">
        <x:color rgb="FF1F4E78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200" fontId="5" fillId="3" borderId="6" xfId="0" applyNumberFormat="1" applyFont="1" applyFill="1" applyBorder="1"/>
    <x:xf numFmtId="200" fontId="5" fillId="3" borderId="7" xfId="0" applyNumberFormat="1" applyFont="1" applyFill="1" applyBorder="1"/>
    <x:xf numFmtId="200" fontId="5" fillId="3" borderId="8" xfId="0" applyNumberFormat="1" applyFont="1" applyFill="1" applyBorder="1"/>
    <x:xf numFmtId="200" fontId="5" fillId="3" borderId="9" xfId="0" applyNumberFormat="1" applyFont="1" applyFill="1" applyBorder="1"/>
    <x:xf numFmtId="200" fontId="5" fillId="3" borderId="6" xfId="0" applyNumberFormat="1" applyFont="1" applyFill="1" applyBorder="1" applyAlignment="1">
      <x:alignment horizontal="center"/>
    </x:xf>
    <x:xf numFmtId="200" fontId="5" fillId="3" borderId="7" xfId="0" applyNumberFormat="1" applyFont="1" applyFill="1" applyBorder="1" applyAlignment="1">
      <x:alignment horizontal="center"/>
    </x:xf>
    <x:xf numFmtId="200" fontId="5" fillId="3" borderId="8" xfId="0" applyNumberFormat="1" applyFont="1" applyFill="1" applyBorder="1" applyAlignment="1">
      <x:alignment horizontal="center"/>
    </x:xf>
    <x:xf numFmtId="200" fontId="5" fillId="3" borderId="9" xfId="0" applyNumberFormat="1" applyFont="1" applyFill="1" applyBorder="1" applyAlignment="1">
      <x:alignment horizontal="center"/>
    </x:xf>
    <x:xf numFmtId="200" fontId="5" fillId="3" borderId="6" xfId="0" applyNumberFormat="1" applyFont="1" applyFill="1" applyBorder="1" applyAlignment="1">
      <x:alignment horizontal="center" vertical="center"/>
    </x:xf>
    <x:xf numFmtId="200" fontId="5" fillId="3" borderId="7" xfId="0" applyNumberFormat="1" applyFont="1" applyFill="1" applyBorder="1" applyAlignment="1">
      <x:alignment horizontal="center" vertical="center"/>
    </x:xf>
    <x:xf numFmtId="200" fontId="5" fillId="3" borderId="8" xfId="0" applyNumberFormat="1" applyFont="1" applyFill="1" applyBorder="1" applyAlignment="1">
      <x:alignment horizontal="center" vertical="center"/>
    </x:xf>
    <x:xf numFmtId="200" fontId="5" fillId="3" borderId="9" xfId="0" applyNumberFormat="1" applyFont="1" applyFill="1" applyBorder="1" applyAlignment="1">
      <x:alignment horizontal="center" vertical="center"/>
    </x:xf>
    <x:xf numFmtId="204" fontId="5" fillId="3" borderId="6" xfId="0" applyNumberFormat="1" applyFont="1" applyFill="1" applyBorder="1"/>
    <x:xf numFmtId="204" fontId="5" fillId="3" borderId="7" xfId="0" applyNumberFormat="1" applyFont="1" applyFill="1" applyBorder="1"/>
    <x:xf numFmtId="204" fontId="5" fillId="3" borderId="8" xfId="0" applyNumberFormat="1" applyFont="1" applyFill="1" applyBorder="1"/>
    <x:xf numFmtId="204" fontId="5" fillId="3" borderId="9" xfId="0" applyNumberFormat="1" applyFont="1" applyFill="1" applyBorder="1"/>
    <x:xf numFmtId="204" fontId="5" fillId="3" borderId="6" xfId="0" applyNumberFormat="1" applyFont="1" applyFill="1" applyBorder="1" applyAlignment="1">
      <x:alignment horizontal="center"/>
    </x:xf>
    <x:xf numFmtId="204" fontId="5" fillId="3" borderId="7" xfId="0" applyNumberFormat="1" applyFont="1" applyFill="1" applyBorder="1" applyAlignment="1">
      <x:alignment horizontal="center"/>
    </x:xf>
    <x:xf numFmtId="204" fontId="5" fillId="3" borderId="8" xfId="0" applyNumberFormat="1" applyFont="1" applyFill="1" applyBorder="1" applyAlignment="1">
      <x:alignment horizontal="center"/>
    </x:xf>
    <x:xf numFmtId="204" fontId="5" fillId="3" borderId="9" xfId="0" applyNumberFormat="1" applyFont="1" applyFill="1" applyBorder="1" applyAlignment="1">
      <x:alignment horizontal="center"/>
    </x:xf>
    <x:xf numFmtId="204" fontId="5" fillId="3" borderId="6" xfId="0" applyNumberFormat="1" applyFont="1" applyFill="1" applyBorder="1" applyAlignment="1">
      <x:alignment horizontal="center" vertical="center"/>
    </x:xf>
    <x:xf numFmtId="204" fontId="5" fillId="3" borderId="7" xfId="0" applyNumberFormat="1" applyFont="1" applyFill="1" applyBorder="1" applyAlignment="1">
      <x:alignment horizontal="center" vertical="center"/>
    </x:xf>
    <x:xf numFmtId="204" fontId="5" fillId="3" borderId="8" xfId="0" applyNumberFormat="1" applyFont="1" applyFill="1" applyBorder="1" applyAlignment="1">
      <x:alignment horizontal="center" vertical="center"/>
    </x:xf>
    <x:xf numFmtId="204" fontId="5" fillId="3" borderId="9" xfId="0" applyNumberFormat="1" applyFont="1" applyFill="1" applyBorder="1" applyAlignment="1">
      <x:alignment horizontal="center" vertical="center"/>
    </x:xf>
    <x:xf numFmtId="202" fontId="5" fillId="3" borderId="6" xfId="0" applyNumberFormat="1" applyFont="1" applyFill="1" applyBorder="1"/>
    <x:xf numFmtId="202" fontId="5" fillId="3" borderId="7" xfId="0" applyNumberFormat="1" applyFont="1" applyFill="1" applyBorder="1"/>
    <x:xf numFmtId="202" fontId="5" fillId="3" borderId="8" xfId="0" applyNumberFormat="1" applyFont="1" applyFill="1" applyBorder="1"/>
    <x:xf numFmtId="202" fontId="5" fillId="3" borderId="9" xfId="0" applyNumberFormat="1" applyFont="1" applyFill="1" applyBorder="1"/>
    <x:xf numFmtId="202" fontId="5" fillId="3" borderId="6" xfId="0" applyNumberFormat="1" applyFont="1" applyFill="1" applyBorder="1" applyAlignment="1">
      <x:alignment horizontal="center"/>
    </x:xf>
    <x:xf numFmtId="202" fontId="5" fillId="3" borderId="7" xfId="0" applyNumberFormat="1" applyFont="1" applyFill="1" applyBorder="1" applyAlignment="1">
      <x:alignment horizontal="center"/>
    </x:xf>
    <x:xf numFmtId="202" fontId="5" fillId="3" borderId="8" xfId="0" applyNumberFormat="1" applyFont="1" applyFill="1" applyBorder="1" applyAlignment="1">
      <x:alignment horizontal="center"/>
    </x:xf>
    <x:xf numFmtId="202" fontId="5" fillId="3" borderId="9" xfId="0" applyNumberFormat="1" applyFont="1" applyFill="1" applyBorder="1" applyAlignment="1">
      <x:alignment horizontal="center"/>
    </x:xf>
    <x:xf numFmtId="202" fontId="5" fillId="3" borderId="6" xfId="0" applyNumberFormat="1" applyFont="1" applyFill="1" applyBorder="1" applyAlignment="1">
      <x:alignment horizontal="center" vertical="center"/>
    </x:xf>
    <x:xf numFmtId="202" fontId="5" fillId="3" borderId="7" xfId="0" applyNumberFormat="1" applyFont="1" applyFill="1" applyBorder="1" applyAlignment="1">
      <x:alignment horizontal="center" vertical="center"/>
    </x:xf>
    <x:xf numFmtId="202" fontId="5" fillId="3" borderId="8" xfId="0" applyNumberFormat="1" applyFont="1" applyFill="1" applyBorder="1" applyAlignment="1">
      <x:alignment horizontal="center" vertical="center"/>
    </x:xf>
    <x:xf numFmtId="202" fontId="5" fillId="3" borderId="9" xfId="0" applyNumberFormat="1" applyFont="1" applyFill="1" applyBorder="1" applyAlignment="1">
      <x:alignment horizontal="center" vertical="center"/>
    </x:xf>
    <x:xf numFmtId="205" fontId="5" fillId="3" borderId="6" xfId="0" applyNumberFormat="1" applyFont="1" applyFill="1" applyBorder="1"/>
    <x:xf numFmtId="205" fontId="5" fillId="3" borderId="7" xfId="0" applyNumberFormat="1" applyFont="1" applyFill="1" applyBorder="1"/>
    <x:xf numFmtId="205" fontId="5" fillId="3" borderId="8" xfId="0" applyNumberFormat="1" applyFont="1" applyFill="1" applyBorder="1"/>
    <x:xf numFmtId="205" fontId="5" fillId="3" borderId="9" xfId="0" applyNumberFormat="1" applyFont="1" applyFill="1" applyBorder="1"/>
    <x:xf numFmtId="205" fontId="5" fillId="3" borderId="6" xfId="0" applyNumberFormat="1" applyFont="1" applyFill="1" applyBorder="1" applyAlignment="1">
      <x:alignment horizontal="center"/>
    </x:xf>
    <x:xf numFmtId="205" fontId="5" fillId="3" borderId="7" xfId="0" applyNumberFormat="1" applyFont="1" applyFill="1" applyBorder="1" applyAlignment="1">
      <x:alignment horizontal="center"/>
    </x:xf>
    <x:xf numFmtId="205" fontId="5" fillId="3" borderId="8" xfId="0" applyNumberFormat="1" applyFont="1" applyFill="1" applyBorder="1" applyAlignment="1">
      <x:alignment horizontal="center"/>
    </x:xf>
    <x:xf numFmtId="205" fontId="5" fillId="3" borderId="9" xfId="0" applyNumberFormat="1" applyFont="1" applyFill="1" applyBorder="1" applyAlignment="1">
      <x:alignment horizontal="center"/>
    </x:xf>
    <x:xf numFmtId="205" fontId="5" fillId="3" borderId="6" xfId="0" applyNumberFormat="1" applyFont="1" applyFill="1" applyBorder="1" applyAlignment="1">
      <x:alignment horizontal="center" vertical="center"/>
    </x:xf>
    <x:xf numFmtId="205" fontId="5" fillId="3" borderId="7" xfId="0" applyNumberFormat="1" applyFont="1" applyFill="1" applyBorder="1" applyAlignment="1">
      <x:alignment horizontal="center" vertical="center"/>
    </x:xf>
    <x:xf numFmtId="205" fontId="5" fillId="3" borderId="8" xfId="0" applyNumberFormat="1" applyFont="1" applyFill="1" applyBorder="1" applyAlignment="1">
      <x:alignment horizontal="center" vertical="center"/>
    </x:xf>
    <x:xf numFmtId="205" fontId="5" fillId="3" borderId="9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2" fontId="4" fillId="0" borderId="4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207" fontId="4" fillId="0" borderId="4" xfId="0" applyNumberFormat="1" applyFont="1" applyFill="1" applyBorder="1" applyAlignment="1">
      <x:alignment vertical="center"/>
    </x:xf>
    <x:xf numFmtId="207" fontId="4" fillId="0" borderId="5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horizontal="center" vertical="center"/>
    </x:xf>
    <x:xf numFmtId="0" fontId="9" fillId="3" borderId="5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9" fillId="5" borderId="4" xfId="0" applyNumberFormat="1" applyFont="1" applyFill="1" applyBorder="1" applyAlignment="1">
      <x:alignment vertical="center"/>
    </x:xf>
    <x:xf numFmtId="0" fontId="9" fillId="5" borderId="5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 applyAlignment="1">
      <x:alignment vertical="center"/>
    </x:xf>
    <x:xf numFmtId="0" fontId="4" fillId="8" borderId="5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horizontal="center" vertical="center" wrapText="1"/>
    </x:xf>
    <x:xf numFmtId="0" fontId="9" fillId="3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c9873a69642b2" /><Relationship Type="http://schemas.openxmlformats.org/officeDocument/2006/relationships/theme" Target="/xl/theme/theme1.xml" Id="R12cbf0f3d6334787" /><Relationship Type="http://schemas.openxmlformats.org/officeDocument/2006/relationships/sharedStrings" Target="/xl/sharedStrings.xml" Id="R4bd225adb6624284" /><Relationship Type="http://schemas.openxmlformats.org/officeDocument/2006/relationships/worksheet" Target="/xl/worksheets/sheet1.xml" Id="Rb67031978c5e4c27" /><Relationship Type="http://schemas.openxmlformats.org/officeDocument/2006/relationships/worksheet" Target="/xl/worksheets/sheet2.xml" Id="R4793b561a29a40b2" /><Relationship Type="http://schemas.openxmlformats.org/officeDocument/2006/relationships/worksheet" Target="/xl/worksheets/sheet3.xml" Id="R968bebd240ce4e7b" /><Relationship Type="http://schemas.openxmlformats.org/officeDocument/2006/relationships/worksheet" Target="/xl/worksheets/sheet4.xml" Id="R3919aa8e21d246c4" /><Relationship Type="http://schemas.openxmlformats.org/officeDocument/2006/relationships/worksheet" Target="/xl/worksheets/sheet5.xml" Id="R98972588a8da4f7b" /><Relationship Type="http://schemas.openxmlformats.org/officeDocument/2006/relationships/worksheet" Target="/xl/worksheets/sheet6.xml" Id="R22519e7ab0394352" /><Relationship Type="http://schemas.openxmlformats.org/officeDocument/2006/relationships/worksheet" Target="/xl/worksheets/sheet7.xml" Id="R68d3217432a649ec" /><Relationship Type="http://schemas.openxmlformats.org/officeDocument/2006/relationships/worksheet" Target="/xl/worksheets/sheet8.xml" Id="R17992886e2cd48e9" /><Relationship Type="http://schemas.microsoft.com/office/2017/10/relationships/person" Target="/xl/persons/person.xml" Id="R7490287808b14f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e11231425b493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c44852304fd407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a86a3f847774b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Review score collapses as delay increases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review</c:v>
          </c:tx>
          <c:cat>
            <c:strRef>
              <c:f>'Delay Impact'!$G$5:$G$8</c:f>
              <c:strCache>
                <c:ptCount val="0"/>
              </c:strCache>
            </c:strRef>
          </c:cat>
          <c:val>
            <c:numRef>
              <c:f>'Delay Impact'!$H$5:$H$8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categories account for most merchandise value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GMV (BRL)</c:v>
          </c:tx>
          <c:cat>
            <c:strRef>
              <c:f>'Category Performance'!$J$5:$J$14</c:f>
              <c:strCache>
                <c:ptCount val="0"/>
              </c:strCache>
            </c:strRef>
          </c:cat>
          <c:val>
            <c:numRef>
              <c:f>'Category Performance'!$K$5:$K$14</c:f>
              <c:numCache>
                <c:formatCode>[$R$-pt-BR]#,##0,,"M"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R$-pt-BR]#,##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merchandise GMV scaled rapidly through 2017-18</a:t>
            </a:r>
          </a:p>
        </c:rich>
      </c:tx>
    </c:title>
    <c:plotArea>
      <c:lineChart>
        <c:grouping val="standard"/>
        <c:ser>
          <c:idx val="0"/>
          <c:order val="0"/>
          <c:tx>
            <c:v>GMV (BRL)</c:v>
          </c:tx>
          <c:marker>
            <c:symbol val="none"/>
          </c:marker>
          <c:cat>
            <c:strRef>
              <c:f>'Monthly Trend'!$A$5:$A$24</c:f>
              <c:strCache>
                <c:ptCount val="0"/>
              </c:strCache>
            </c:strRef>
          </c:cat>
          <c:val>
            <c:numRef>
              <c:f>'Monthly Trend'!$B$5:$B$24</c:f>
              <c:numCache>
                <c:formatCode>[$R$-pt-BR]#,##0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R$-pt-BR]#,##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e11231425b493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4852304fd407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86a3f847774b4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isham Siddiqui" id="{81F58E7C-B905-4CD2-803E-A0324BBCD43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01T11:23:08.747" personId="{81F58E7C-B905-4CD2-803E-A0324BBCD43E}" id="{95C1FEAB-3B11-AB94-1728-4CE045F86B80}">
    <xltc:text>GMV is merchandise value, not Olist revenue or profit. The dataset does not disclose commission, margin, or operating cost.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540dbe5bb1a4331" /><Relationship Type="http://schemas.openxmlformats.org/officeDocument/2006/relationships/vmlDrawing" Target="/xl/drawings/vmldrawing.vml" Id="Rd5316220bfc1424e" /><Relationship Type="http://schemas.microsoft.com/office/2017/10/relationships/threadedComment" Target="/xl/threadedcomments/threadedcomment.xml" Id="R6b62459b858d40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03466c724454e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69913d5c48340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cf45127cee3942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30" hidden="0" customWidth="1"/>
  </x:cols>
  <x:sheetData>
    <x:row r="1" ht="21.600000381469727" hidden="0" customHeight="1">
      <x:c r="A1" s="3" t="str">
        <x:v>KPI Inputs</x:v>
      </x:c>
      <x:c r="B1" s="3"/>
      <x:c r="C1" s="3"/>
      <x:c r="D1" s="3"/>
    </x:row>
    <x:row r="2" ht="15" hidden="0" customHeight="1">
      <x:c r="A2" s="6" t="str">
        <x:v>Validated outputs from delivered-order analysis; values in BRL</x:v>
      </x:c>
      <x:c r="B2" s="6"/>
      <x:c r="C2" s="6"/>
      <x:c r="D2" s="6"/>
    </x:row>
    <x:row r="3"/>
    <x:row r="4" ht="15" hidden="0" customHeight="1">
      <x:c r="A4" s="18" t="str">
        <x:v>Metric</x:v>
      </x:c>
      <x:c r="B4" s="19" t="str">
        <x:v>Value</x:v>
      </x:c>
      <x:c r="C4" s="19" t="str">
        <x:v>Definition</x:v>
      </x:c>
      <x:c r="D4" s="20" t="str">
        <x:v>Source</x:v>
      </x:c>
    </x:row>
    <x:row r="5" ht="15" hidden="0" customHeight="1">
      <x:c r="A5" s="31" t="str">
        <x:v>Delivered orders</x:v>
      </x:c>
      <x:c r="B5" s="32" t="n">
        <x:v>96470</x:v>
      </x:c>
      <x:c r="C5" s="31" t="str">
        <x:v>Delivered orders with item records</x:v>
      </x:c>
      <x:c r="D5" s="31" t="str">
        <x:v>orders + order_items</x:v>
      </x:c>
    </x:row>
    <x:row r="6" ht="15" hidden="0" customHeight="1">
      <x:c r="A6" s="33" t="str">
        <x:v>Merchandise GMV</x:v>
      </x:c>
      <x:c r="B6" s="34" t="n">
        <x:v>13220248.93</x:v>
      </x:c>
      <x:c r="C6" s="33" t="str">
        <x:v>Sum of item prices; not Olist company revenue</x:v>
      </x:c>
      <x:c r="D6" s="33" t="str">
        <x:v>order_items.price</x:v>
      </x:c>
    </x:row>
    <x:row r="7" ht="15" hidden="0" customHeight="1">
      <x:c r="A7" s="33" t="str">
        <x:v>Freight value</x:v>
      </x:c>
      <x:c r="B7" s="34" t="n">
        <x:v>2198145.8999999994</x:v>
      </x:c>
      <x:c r="C7" s="33" t="str">
        <x:v>Sum of item-level freight charges</x:v>
      </x:c>
      <x:c r="D7" s="33" t="str">
        <x:v>order_items.freight_value</x:v>
      </x:c>
    </x:row>
    <x:row r="8" ht="15" hidden="0" customHeight="1">
      <x:c r="A8" s="33" t="str">
        <x:v>Average order GMV</x:v>
      </x:c>
      <x:c r="B8" s="34" t="n">
        <x:v>137.0400013475692</x:v>
      </x:c>
      <x:c r="C8" s="33" t="str">
        <x:v>GMV divided by delivered orders</x:v>
      </x:c>
      <x:c r="D8" s="33" t="str">
        <x:v>Calculated</x:v>
      </x:c>
    </x:row>
    <x:row r="9" ht="15" hidden="0" customHeight="1">
      <x:c r="A9" s="33" t="str">
        <x:v>Average delivery days</x:v>
      </x:c>
      <x:c r="B9" s="35" t="n">
        <x:v>12.558217098051976</x:v>
      </x:c>
      <x:c r="C9" s="33" t="str">
        <x:v>Purchase timestamp to customer delivery</x:v>
      </x:c>
      <x:c r="D9" s="33" t="str">
        <x:v>Calculated</x:v>
      </x:c>
    </x:row>
    <x:row r="10" ht="15" hidden="0" customHeight="1">
      <x:c r="A10" s="33" t="str">
        <x:v>Late delivery rate</x:v>
      </x:c>
      <x:c r="B10" s="36" t="n">
        <x:v>0.06773090079817559</x:v>
      </x:c>
      <x:c r="C10" s="33" t="str">
        <x:v>Delivered after the promised calendar date</x:v>
      </x:c>
      <x:c r="D10" s="33" t="str">
        <x:v>Calculated</x:v>
      </x:c>
    </x:row>
    <x:row r="11" ht="15" hidden="0" customHeight="1">
      <x:c r="A11" s="33" t="str">
        <x:v>Average review</x:v>
      </x:c>
      <x:c r="B11" s="35" t="n">
        <x:v>4.155879529136751</x:v>
      </x:c>
      <x:c r="C11" s="33" t="str">
        <x:v>Latest review per order</x:v>
      </x:c>
      <x:c r="D11" s="33" t="str">
        <x:v>order_reviews.review_score</x:v>
      </x:c>
    </x:row>
    <x:row r="12" ht="15" hidden="0" customHeight="1">
      <x:c r="A12" s="33" t="str">
        <x:v>Low review rate</x:v>
      </x:c>
      <x:c r="B12" s="36" t="n">
        <x:v>0.12721053177153518</x:v>
      </x:c>
      <x:c r="C12" s="33" t="str">
        <x:v>Share of latest reviews rated 1 or 2</x:v>
      </x:c>
      <x:c r="D12" s="33" t="str">
        <x:v>Calculated</x:v>
      </x:c>
    </x:row>
    <x:row r="13" ht="15" hidden="0" customHeight="1">
      <x:c r="A13" s="33" t="str">
        <x:v>Unique customers</x:v>
      </x:c>
      <x:c r="B13" s="37" t="n">
        <x:v>93350</x:v>
      </x:c>
      <x:c r="C13" s="33" t="str">
        <x:v>Unique customer IDs in delivered orders</x:v>
      </x:c>
      <x:c r="D13" s="33" t="str">
        <x:v>customers.customer_unique_id</x:v>
      </x:c>
    </x:row>
    <x:row r="14" ht="15" hidden="0" customHeight="1">
      <x:c r="A14" s="33" t="str">
        <x:v>Repeat customers</x:v>
      </x:c>
      <x:c r="B14" s="37" t="n">
        <x:v>2801</x:v>
      </x:c>
      <x:c r="C14" s="33" t="str">
        <x:v>Customers with more than one delivered order</x:v>
      </x:c>
      <x:c r="D14" s="33" t="str">
        <x:v>Calculated</x:v>
      </x:c>
    </x:row>
    <x:row r="15" ht="15" hidden="0" customHeight="1">
      <x:c r="A15" s="33" t="str">
        <x:v>Repeat customer rate</x:v>
      </x:c>
      <x:c r="B15" s="36" t="n">
        <x:v>0.030005356186395285</x:v>
      </x:c>
      <x:c r="C15" s="33" t="str">
        <x:v>Repeat customers divided by unique customers</x:v>
      </x:c>
      <x:c r="D15" s="33" t="str">
        <x:v>Calculated</x:v>
      </x:c>
    </x:row>
    <x:row r="16" ht="15" hidden="0" customHeight="1">
      <x:c r="A16" s="33" t="str">
        <x:v>Review coverage</x:v>
      </x:c>
      <x:c r="B16" s="36" t="n">
        <x:v>0.993303617704986</x:v>
      </x:c>
      <x:c r="C16" s="33" t="str">
        <x:v>Delivered orders with a latest review</x:v>
      </x:c>
      <x:c r="D16" s="33" t="str">
        <x:v>Calculated</x:v>
      </x:c>
    </x:row>
  </x:sheetData>
  <x:mergeCells>
    <x:mergeCell ref="A1:D1"/>
    <x:mergeCell ref="A2:D2"/>
  </x:mergeCells>
  <x:pageMargins left="0.7" right="0.7" top="0.75" bottom="0.75" header="0.3" footer="0.3"/>
  <x:legacyDrawing xmlns:r="http://schemas.openxmlformats.org/officeDocument/2006/relationships" r:id="Rd5316220bfc142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</x:cols>
  <x:sheetData>
    <x:row r="1" ht="21.600000381469727" hidden="0" customHeight="1">
      <x:c r="A1" s="3" t="str">
        <x:v>Olist Growth &amp; Customer Experience Case Study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96,470 delivered orders | Brazil marketplace data | Sep 2016-Aug 2018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39" t="str">
        <x:v>DELIVERED ORDERS</x:v>
      </x:c>
      <x:c r="B4" s="39"/>
      <x:c r="C4" s="39" t="str">
        <x:v>MERCHANDISE GMV</x:v>
      </x:c>
      <x:c r="D4" s="39"/>
      <x:c r="E4" s="39" t="str">
        <x:v>AVERAGE REVIEW</x:v>
      </x:c>
      <x:c r="F4" s="39"/>
      <x:c r="G4" s="39" t="str">
        <x:v>REPEAT CUSTOMER RATE</x:v>
      </x:c>
      <x:c r="H4" s="39"/>
    </x:row>
    <x:row r="5">
      <x:c r="A5" s="53" t="n">
        <x:f>'KPI Inputs'!B5</x:f>
        <x:v>96470</x:v>
      </x:c>
      <x:c r="B5" s="54"/>
      <x:c r="C5" s="65" t="n">
        <x:f>'KPI Inputs'!B6</x:f>
        <x:v>13220248.93</x:v>
      </x:c>
      <x:c r="D5" s="66"/>
      <x:c r="E5" s="77" t="n">
        <x:f>'KPI Inputs'!B11</x:f>
        <x:v>4.155879529136751</x:v>
      </x:c>
      <x:c r="F5" s="78"/>
      <x:c r="G5" s="89" t="n">
        <x:f>'KPI Inputs'!B15</x:f>
        <x:v>0.030005356186395285</x:v>
      </x:c>
      <x:c r="H5" s="90"/>
    </x:row>
    <x:row r="6">
      <x:c r="A6" s="55"/>
      <x:c r="B6" s="56"/>
      <x:c r="C6" s="67"/>
      <x:c r="D6" s="68"/>
      <x:c r="E6" s="79"/>
      <x:c r="F6" s="80"/>
      <x:c r="G6" s="91"/>
      <x:c r="H6" s="92"/>
    </x:row>
    <x:row r="7"/>
    <x:row r="8" ht="15" hidden="0" customHeight="1">
      <x:c r="A8" s="94" t="str">
        <x:v>Four evidence-backed findings</x:v>
      </x:c>
      <x:c r="B8" s="94"/>
      <x:c r="C8" s="94"/>
      <x:c r="D8" s="94"/>
      <x:c r="E8" s="94"/>
      <x:c r="F8" s="94"/>
      <x:c r="G8" s="94"/>
      <x:c r="H8" s="94"/>
    </x:row>
    <x:row r="9" ht="15" hidden="0" customHeight="1">
      <x:c r="A9" s="18" t="str">
        <x:v>Finding</x:v>
      </x:c>
      <x:c r="B9" s="19"/>
      <x:c r="C9" s="19" t="str">
        <x:v>Evidence</x:v>
      </x:c>
      <x:c r="D9" s="19"/>
      <x:c r="E9" s="19" t="str">
        <x:v>Business implication</x:v>
      </x:c>
      <x:c r="F9" s="19"/>
      <x:c r="G9" s="19" t="str">
        <x:v>Recommended action</x:v>
      </x:c>
      <x:c r="H9" s="20"/>
    </x:row>
    <x:row r="10" ht="24" hidden="0" customHeight="1">
      <x:c r="A10" s="95" t="str">
        <x:v>Delivery reliability is the clearest experience lever</x:v>
      </x:c>
      <x:c r="B10" s="95"/>
      <x:c r="C10" s="31" t="str">
        <x:v>Average review falls from 4.29 on-time to 1.70 at 8+ days late; low-review risk is 8.4x higher.</x:v>
      </x:c>
      <x:c r="D10" s="31"/>
      <x:c r="E10" s="31" t="str">
        <x:v>Late orders create a disproportionate share of dissatisfaction.</x:v>
      </x:c>
      <x:c r="F10" s="31"/>
      <x:c r="G10" s="97" t="str">
        <x:v>Introduce exception alerts before the promised date and seller/carrier SLA reviews.</x:v>
      </x:c>
      <x:c r="H10" s="97"/>
    </x:row>
    <x:row r="11" ht="24" hidden="0" customHeight="1">
      <x:c r="A11" s="96" t="str">
        <x:v>Regional service economics are uneven</x:v>
      </x:c>
      <x:c r="B11" s="96"/>
      <x:c r="C11" s="33" t="str">
        <x:v>MA has 20.8% freight burden, 17.4% late deliveries and a 3.83 average review.</x:v>
      </x:c>
      <x:c r="D11" s="33"/>
      <x:c r="E11" s="33" t="str">
        <x:v>Some states face both higher customer cost and weaker service.</x:v>
      </x:c>
      <x:c r="F11" s="33"/>
      <x:c r="G11" s="98" t="str">
        <x:v>Prioritize route, fulfilment and seller diagnostics in MA, CE, BA and PA.</x:v>
      </x:c>
      <x:c r="H11" s="98"/>
    </x:row>
    <x:row r="12" ht="24" hidden="0" customHeight="1">
      <x:c r="A12" s="96" t="str">
        <x:v>Retention is a visible growth gap</x:v>
      </x:c>
      <x:c r="B12" s="96"/>
      <x:c r="C12" s="33" t="str">
        <x:v>Only 3.0% of observed customers placed more than one delivered order.</x:v>
      </x:c>
      <x:c r="D12" s="33"/>
      <x:c r="E12" s="33" t="str">
        <x:v>Improving repeat behavior could complement acquisition-led growth.</x:v>
      </x:c>
      <x:c r="F12" s="33"/>
      <x:c r="G12" s="98" t="str">
        <x:v>Trigger post-delivery recovery for low ratings and test category-based repeat offers.</x:v>
      </x:c>
      <x:c r="H12" s="98"/>
    </x:row>
    <x:row r="13" ht="36" hidden="0" customHeight="1">
      <x:c r="A13" s="96" t="str">
        <x:v>Seller risk is concentrated enough to act on</x:v>
      </x:c>
      <x:c r="B13" s="96"/>
      <x:c r="C13" s="33" t="str">
        <x:v>58 of 210 scaled sellers exceed both overall delay and low-review benchmarks; they are linked to 3,466 low-review seller-order records.</x:v>
      </x:c>
      <x:c r="D13" s="33"/>
      <x:c r="E13" s="33" t="str">
        <x:v>A transparent screen identifies where SLA investigation can start without claiming sole causality.</x:v>
      </x:c>
      <x:c r="F13" s="33"/>
      <x:c r="G13" s="98" t="str">
        <x:v>Prioritize the highest-volume flagged sellers for root-cause review and exception monitoring.</x:v>
      </x:c>
      <x:c r="H13" s="98"/>
    </x:row>
    <x:row r="14" ht="15" hidden="0" customHeight="1">
      <x:c r="A14" s="94" t="str">
        <x:v>Decision framing and caveats</x:v>
      </x:c>
      <x:c r="B14" s="94"/>
      <x:c r="C14" s="94"/>
      <x:c r="D14" s="94"/>
      <x:c r="E14" s="94"/>
      <x:c r="F14" s="94"/>
      <x:c r="G14" s="94"/>
      <x:c r="H14" s="94"/>
    </x:row>
    <x:row r="15" ht="15" hidden="0" customHeight="1">
      <x:c r="A15" s="99" t="str">
        <x:v>Business question</x:v>
      </x:c>
      <x:c r="B15" s="101" t="str">
        <x:v>How can Olist improve customer experience and support repeat growth using operational data?</x:v>
      </x:c>
      <x:c r="C15" s="101"/>
      <x:c r="D15" s="101"/>
      <x:c r="E15" s="101"/>
      <x:c r="F15" s="101"/>
      <x:c r="G15" s="101"/>
      <x:c r="H15" s="101"/>
    </x:row>
    <x:row r="16" ht="15" hidden="0" customHeight="1">
      <x:c r="A16" s="99" t="str">
        <x:v>Scope</x:v>
      </x:c>
      <x:c r="B16" s="101" t="str">
        <x:v>Delivered orders with item records; latest review retained per order; all monetary values in BRL.</x:v>
      </x:c>
      <x:c r="C16" s="101"/>
      <x:c r="D16" s="101"/>
      <x:c r="E16" s="101"/>
      <x:c r="F16" s="101"/>
      <x:c r="G16" s="101"/>
      <x:c r="H16" s="101"/>
    </x:row>
    <x:row r="17" ht="15" hidden="0" customHeight="1">
      <x:c r="A17" s="99" t="str">
        <x:v>Causality</x:v>
      </x:c>
      <x:c r="B17" s="101" t="str">
        <x:v>Relationships are observational. Delay, region and rating patterns support prioritization, not proof of causation.</x:v>
      </x:c>
      <x:c r="C17" s="101"/>
      <x:c r="D17" s="101"/>
      <x:c r="E17" s="101"/>
      <x:c r="F17" s="101"/>
      <x:c r="G17" s="101"/>
      <x:c r="H17" s="101"/>
    </x:row>
    <x:row r="18" ht="15" hidden="0" customHeight="1">
      <x:c r="A18" s="99" t="str">
        <x:v>Profitability</x:v>
      </x:c>
      <x:c r="B18" s="101" t="str">
        <x:v>Not assessed because commission, product cost and operating expenses are unavailable.</x:v>
      </x:c>
      <x:c r="C18" s="101"/>
      <x:c r="D18" s="101"/>
      <x:c r="E18" s="101"/>
      <x:c r="F18" s="101"/>
      <x:c r="G18" s="101"/>
      <x:c r="H18" s="101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9:B9"/>
    <x:mergeCell ref="C9:D9"/>
    <x:mergeCell ref="E9:F9"/>
    <x:mergeCell ref="G9:H9"/>
    <x:mergeCell ref="A10:B10"/>
    <x:mergeCell ref="C10:D10"/>
    <x:mergeCell ref="E10:F10"/>
    <x:mergeCell ref="G10:H10"/>
    <x:mergeCell ref="A11:B11"/>
    <x:mergeCell ref="C11:D11"/>
    <x:mergeCell ref="E11:F11"/>
    <x:mergeCell ref="G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1.600000381469727" hidden="0" customHeight="1">
      <x:c r="A1" s="3" t="str">
        <x:v>Delay Impact on Customer Satisfaction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Calendar-date delay buckets; latest review per order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8" t="str">
        <x:v>Delay bucket</x:v>
      </x:c>
      <x:c r="B4" s="19" t="str">
        <x:v>Orders</x:v>
      </x:c>
      <x:c r="C4" s="19" t="str">
        <x:v>Average review</x:v>
      </x:c>
      <x:c r="D4" s="19" t="str">
        <x:v>Low-review rate</x:v>
      </x:c>
      <x:c r="E4" s="20" t="str">
        <x:v>Average delivery days</x:v>
      </x:c>
      <x:c r="G4" t="str">
        <x:f>A4</x:f>
        <x:v>Delay bucket</x:v>
      </x:c>
      <x:c r="H4" t="str">
        <x:f>C4</x:f>
        <x:v>Average review</x:v>
      </x:c>
    </x:row>
    <x:row r="5" ht="15" hidden="0" customHeight="1">
      <x:c r="A5" s="24" t="str">
        <x:v>On time / early</x:v>
      </x:c>
      <x:c r="B5" s="26" t="n">
        <x:v>89936</x:v>
      </x:c>
      <x:c r="C5" s="102" t="n">
        <x:v>4.290386055923885</x:v>
      </x:c>
      <x:c r="D5" s="103" t="n">
        <x:v>0.09216553993951254</x:v>
      </x:c>
      <x:c r="E5" s="105" t="n">
        <x:v>11.004047417258034</x:v>
      </x:c>
      <x:c r="G5" t="str">
        <x:f>A5</x:f>
        <x:v>On time / early</x:v>
      </x:c>
      <x:c r="H5" t="n">
        <x:f>C5</x:f>
        <x:v>4.290386055923885</x:v>
      </x:c>
    </x:row>
    <x:row r="6" ht="15" hidden="0" customHeight="1">
      <x:c r="A6" s="25" t="str">
        <x:v>1-3 days late</x:v>
      </x:c>
      <x:c r="B6" s="30" t="n">
        <x:v>1870</x:v>
      </x:c>
      <x:c r="C6" s="28" t="n">
        <x:v>3.291036717062635</x:v>
      </x:c>
      <x:c r="D6" s="104" t="n">
        <x:v>0.3181818181818182</x:v>
      </x:c>
      <x:c r="E6" s="106" t="n">
        <x:v>23.308017181620123</x:v>
      </x:c>
      <x:c r="G6" t="str">
        <x:f>A6</x:f>
        <x:v>1-3 days late</x:v>
      </x:c>
      <x:c r="H6" t="n">
        <x:f>C6</x:f>
        <x:v>3.291036717062635</x:v>
      </x:c>
    </x:row>
    <x:row r="7" ht="15" hidden="0" customHeight="1">
      <x:c r="A7" s="25" t="str">
        <x:v>4-7 days late</x:v>
      </x:c>
      <x:c r="B7" s="30" t="n">
        <x:v>1802</x:v>
      </x:c>
      <x:c r="C7" s="28" t="n">
        <x:v>2.102974828375286</x:v>
      </x:c>
      <x:c r="D7" s="104" t="n">
        <x:v>0.6564927857935627</x:v>
      </x:c>
      <x:c r="E7" s="106" t="n">
        <x:v>28.234331658239814</x:v>
      </x:c>
      <x:c r="G7" t="str">
        <x:f>A7</x:f>
        <x:v>4-7 days late</x:v>
      </x:c>
      <x:c r="H7" t="n">
        <x:f>C7</x:f>
        <x:v>2.102974828375286</x:v>
      </x:c>
    </x:row>
    <x:row r="8" ht="15" hidden="0" customHeight="1">
      <x:c r="A8" s="25" t="str">
        <x:v>8+ days late</x:v>
      </x:c>
      <x:c r="B8" s="30" t="n">
        <x:v>2862</x:v>
      </x:c>
      <x:c r="C8" s="28" t="n">
        <x:v>1.6961524631427545</x:v>
      </x:c>
      <x:c r="D8" s="104" t="n">
        <x:v>0.7704402515723271</x:v>
      </x:c>
      <x:c r="E8" s="106" t="n">
        <x:v>44.50277328888112</x:v>
      </x:c>
      <x:c r="G8" t="str">
        <x:f>A8</x:f>
        <x:v>8+ days late</x:v>
      </x:c>
      <x:c r="H8" t="n">
        <x:f>C8</x:f>
        <x:v>1.6961524631427545</x:v>
      </x:c>
    </x:row>
    <x:row r="9"/>
    <x:row r="10">
      <x:c r="A10" s="110" t="str">
        <x:v>Interpretation: orders delivered 8+ days late average 1.70/5 versus 4.29/5 for on-time orders. Because this is observational data, the result establishes a strong prioritization signal rather than a causal estimate.</x:v>
      </x:c>
      <x:c r="B10" s="110"/>
      <x:c r="C10" s="110"/>
      <x:c r="D10" s="110"/>
      <x:c r="E10" s="110"/>
    </x:row>
    <x:row r="11">
      <x:c r="A11" s="110"/>
      <x:c r="B11" s="110"/>
      <x:c r="C11" s="110"/>
      <x:c r="D11" s="110"/>
      <x:c r="E11" s="110"/>
    </x:row>
    <x:row r="12">
      <x:c r="A12" s="110"/>
      <x:c r="B12" s="110"/>
      <x:c r="C12" s="110"/>
      <x:c r="D12" s="110"/>
      <x:c r="E12" s="110"/>
    </x:row>
    <x:row r="13">
      <x:c r="A13" s="110"/>
      <x:c r="B13" s="110"/>
      <x:c r="C13" s="110"/>
      <x:c r="D13" s="110"/>
      <x:c r="E13" s="110"/>
    </x:row>
  </x:sheetData>
  <x:mergeCells>
    <x:mergeCell ref="A1:J1"/>
    <x:mergeCell ref="A2:J2"/>
    <x:mergeCell ref="A10:E13"/>
  </x:mergeCells>
  <x:pageMargins left="0.7" right="0.7" top="0.75" bottom="0.75" header="0.3" footer="0.3"/>
  <x:drawing xmlns:r="http://schemas.openxmlformats.org/officeDocument/2006/relationships" r:id="R803466c724454ef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.600000381469727" hidden="0" customHeight="1">
      <x:c r="A1" s="3" t="str">
        <x:v>Category Performance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6" t="str">
        <x:v>Top 15 categories by merchandise GMV; order-category level analysis</x:v>
      </x:c>
      <x:c r="B2" s="6"/>
      <x:c r="C2" s="6"/>
      <x:c r="D2" s="6"/>
      <x:c r="E2" s="6"/>
      <x:c r="F2" s="6"/>
      <x:c r="G2" s="6"/>
      <x:c r="H2" s="6"/>
      <x:c r="I2" s="6"/>
    </x:row>
    <x:row r="3"/>
    <x:row r="4" ht="15" hidden="0" customHeight="1">
      <x:c r="A4" s="18" t="str">
        <x:v>Category</x:v>
      </x:c>
      <x:c r="B4" s="19" t="str">
        <x:v>Orders</x:v>
      </x:c>
      <x:c r="C4" s="19" t="str">
        <x:v>GMV (BRL)</x:v>
      </x:c>
      <x:c r="D4" s="19" t="str">
        <x:v>Avg review</x:v>
      </x:c>
      <x:c r="E4" s="19" t="str">
        <x:v>Late rate</x:v>
      </x:c>
      <x:c r="F4" s="19" t="str">
        <x:v>Low-review rate</x:v>
      </x:c>
      <x:c r="G4" s="19" t="str">
        <x:v>Freight burden</x:v>
      </x:c>
      <x:c r="H4" s="20" t="str">
        <x:v>Priority</x:v>
      </x:c>
      <x:c r="J4" t="str">
        <x:f>A4</x:f>
        <x:v>Category</x:v>
      </x:c>
      <x:c r="K4" t="str">
        <x:f>C4</x:f>
        <x:v>GMV (BRL)</x:v>
      </x:c>
    </x:row>
    <x:row r="5" ht="15" hidden="0" customHeight="1">
      <x:c r="A5" s="24" t="str">
        <x:v>health beauty</x:v>
      </x:c>
      <x:c r="B5" s="26" t="n">
        <x:v>8647</x:v>
      </x:c>
      <x:c r="C5" s="111" t="n">
        <x:v>1233131.72</x:v>
      </x:c>
      <x:c r="D5" s="102" t="n">
        <x:v>4.229275665620277</x:v>
      </x:c>
      <x:c r="E5" s="103" t="n">
        <x:v>0.07505493234647855</x:v>
      </x:c>
      <x:c r="F5" s="103" t="n">
        <x:v>0.11391233953972477</x:v>
      </x:c>
      <x:c r="G5" s="103" t="n">
        <x:v>0.12673262296619392</x:v>
      </x:c>
      <x:c r="H5" s="24" t="str">
        <x:f>IF(AND(B5&gt;=500,D5&lt;'KPI Inputs'!$B$11),"Priority","Monitor")</x:f>
        <x:v>Monitor</x:v>
      </x:c>
      <x:c r="J5" t="str">
        <x:f>A5</x:f>
        <x:v>health beauty</x:v>
      </x:c>
      <x:c r="K5" t="n">
        <x:f>C5</x:f>
        <x:v>1233131.72</x:v>
      </x:c>
    </x:row>
    <x:row r="6" ht="15" hidden="0" customHeight="1">
      <x:c r="A6" s="25" t="str">
        <x:v>watches gifts</x:v>
      </x:c>
      <x:c r="B6" s="30" t="n">
        <x:v>5493</x:v>
      </x:c>
      <x:c r="C6" s="112" t="n">
        <x:v>1165898.98</x:v>
      </x:c>
      <x:c r="D6" s="28" t="n">
        <x:v>4.120873074101247</x:v>
      </x:c>
      <x:c r="E6" s="104" t="n">
        <x:v>0.07391225195703623</x:v>
      </x:c>
      <x:c r="F6" s="104" t="n">
        <x:v>0.13599126160567995</x:v>
      </x:c>
      <x:c r="G6" s="104" t="n">
        <x:v>0.07762395723513145</x:v>
      </x:c>
      <x:c r="H6" s="25" t="str">
        <x:f>IF(AND(B6&gt;=500,D6&lt;'KPI Inputs'!$B$11),"Priority","Monitor")</x:f>
        <x:v>Priority</x:v>
      </x:c>
      <x:c r="J6" t="str">
        <x:f>A6</x:f>
        <x:v>watches gifts</x:v>
      </x:c>
      <x:c r="K6" t="n">
        <x:f>C6</x:f>
        <x:v>1165898.98</x:v>
      </x:c>
    </x:row>
    <x:row r="7" ht="15" hidden="0" customHeight="1">
      <x:c r="A7" s="25" t="str">
        <x:v>bed bath table</x:v>
      </x:c>
      <x:c r="B7" s="30" t="n">
        <x:v>9272</x:v>
      </x:c>
      <x:c r="C7" s="112" t="n">
        <x:v>1023434.76</x:v>
      </x:c>
      <x:c r="D7" s="28" t="n">
        <x:v>3.998910319276452</x:v>
      </x:c>
      <x:c r="E7" s="104" t="n">
        <x:v>0.0743097497842968</x:v>
      </x:c>
      <x:c r="F7" s="104" t="n">
        <x:v>0.15864969801553064</x:v>
      </x:c>
      <x:c r="G7" s="104" t="n">
        <x:v>0.16468574519262122</x:v>
      </x:c>
      <x:c r="H7" s="25" t="str">
        <x:f>IF(AND(B7&gt;=500,D7&lt;'KPI Inputs'!$B$11),"Priority","Monitor")</x:f>
        <x:v>Priority</x:v>
      </x:c>
      <x:c r="J7" t="str">
        <x:f>A7</x:f>
        <x:v>bed bath table</x:v>
      </x:c>
      <x:c r="K7" t="n">
        <x:f>C7</x:f>
        <x:v>1023434.76</x:v>
      </x:c>
    </x:row>
    <x:row r="8" ht="15" hidden="0" customHeight="1">
      <x:c r="A8" s="25" t="str">
        <x:v>sports leisure</x:v>
      </x:c>
      <x:c r="B8" s="30" t="n">
        <x:v>7529</x:v>
      </x:c>
      <x:c r="C8" s="112" t="n">
        <x:v>954673.55</x:v>
      </x:c>
      <x:c r="D8" s="28" t="n">
        <x:v>4.227388109552439</x:v>
      </x:c>
      <x:c r="E8" s="104" t="n">
        <x:v>0.06574578297250631</x:v>
      </x:c>
      <x:c r="F8" s="104" t="n">
        <x:v>0.11316243857085935</x:v>
      </x:c>
      <x:c r="G8" s="104" t="n">
        <x:v>0.14613610606222505</x:v>
      </x:c>
      <x:c r="H8" s="25" t="str">
        <x:f>IF(AND(B8&gt;=500,D8&lt;'KPI Inputs'!$B$11),"Priority","Monitor")</x:f>
        <x:v>Monitor</x:v>
      </x:c>
      <x:c r="J8" t="str">
        <x:f>A8</x:f>
        <x:v>sports leisure</x:v>
      </x:c>
      <x:c r="K8" t="n">
        <x:f>C8</x:f>
        <x:v>954673.55</x:v>
      </x:c>
    </x:row>
    <x:row r="9" ht="15" hidden="0" customHeight="1">
      <x:c r="A9" s="25" t="str">
        <x:v>computers accessories</x:v>
      </x:c>
      <x:c r="B9" s="30" t="n">
        <x:v>6529</x:v>
      </x:c>
      <x:c r="C9" s="112" t="n">
        <x:v>888613.62</x:v>
      </x:c>
      <x:c r="D9" s="28" t="n">
        <x:v>4.0815635580178515</x:v>
      </x:c>
      <x:c r="E9" s="104" t="n">
        <x:v>0.06386889263286874</x:v>
      </x:c>
      <x:c r="F9" s="104" t="n">
        <x:v>0.14473885740542197</x:v>
      </x:c>
      <x:c r="G9" s="104" t="n">
        <x:v>0.1394436577867994</x:v>
      </x:c>
      <x:c r="H9" s="25" t="str">
        <x:f>IF(AND(B9&gt;=500,D9&lt;'KPI Inputs'!$B$11),"Priority","Monitor")</x:f>
        <x:v>Priority</x:v>
      </x:c>
      <x:c r="J9" t="str">
        <x:f>A9</x:f>
        <x:v>computers accessories</x:v>
      </x:c>
      <x:c r="K9" t="n">
        <x:f>C9</x:f>
        <x:v>888613.62</x:v>
      </x:c>
    </x:row>
    <x:row r="10" ht="15" hidden="0" customHeight="1">
      <x:c r="A10" s="25" t="str">
        <x:v>furniture decor</x:v>
      </x:c>
      <x:c r="B10" s="30" t="n">
        <x:v>6307</x:v>
      </x:c>
      <x:c r="C10" s="112" t="n">
        <x:v>711927.6900000001</x:v>
      </x:c>
      <x:c r="D10" s="28" t="n">
        <x:v>4.057507987220447</x:v>
      </x:c>
      <x:c r="E10" s="104" t="n">
        <x:v>0.07119074044712224</x:v>
      </x:c>
      <x:c r="F10" s="104" t="n">
        <x:v>0.1523703821151102</x:v>
      </x:c>
      <x:c r="G10" s="104" t="n">
        <x:v>0.19129445242529075</x:v>
      </x:c>
      <x:c r="H10" s="25" t="str">
        <x:f>IF(AND(B10&gt;=500,D10&lt;'KPI Inputs'!$B$11),"Priority","Monitor")</x:f>
        <x:v>Priority</x:v>
      </x:c>
      <x:c r="J10" t="str">
        <x:f>A10</x:f>
        <x:v>furniture decor</x:v>
      </x:c>
      <x:c r="K10" t="n">
        <x:f>C10</x:f>
        <x:v>711927.6900000001</x:v>
      </x:c>
    </x:row>
    <x:row r="11" ht="15" hidden="0" customHeight="1">
      <x:c r="A11" s="25" t="str">
        <x:v>housewares</x:v>
      </x:c>
      <x:c r="B11" s="30" t="n">
        <x:v>5743</x:v>
      </x:c>
      <x:c r="C11" s="112" t="n">
        <x:v>615628.6900000001</x:v>
      </x:c>
      <x:c r="D11" s="28" t="n">
        <x:v>4.1930285514100545</x:v>
      </x:c>
      <x:c r="E11" s="104" t="n">
        <x:v>0.053630506703813335</x:v>
      </x:c>
      <x:c r="F11" s="104" t="n">
        <x:v>0.1175343896917987</x:v>
      </x:c>
      <x:c r="G11" s="104" t="n">
        <x:v>0.18824501437086152</x:v>
      </x:c>
      <x:c r="H11" s="25" t="str">
        <x:f>IF(AND(B11&gt;=500,D11&lt;'KPI Inputs'!$B$11),"Priority","Monitor")</x:f>
        <x:v>Monitor</x:v>
      </x:c>
      <x:c r="J11" t="str">
        <x:f>A11</x:f>
        <x:v>housewares</x:v>
      </x:c>
      <x:c r="K11" t="n">
        <x:f>C11</x:f>
        <x:v>615628.6900000001</x:v>
      </x:c>
    </x:row>
    <x:row r="12" ht="15" hidden="0" customHeight="1">
      <x:c r="A12" s="25" t="str">
        <x:v>cool stuff</x:v>
      </x:c>
      <x:c r="B12" s="30" t="n">
        <x:v>3559</x:v>
      </x:c>
      <x:c r="C12" s="112" t="n">
        <x:v>610204.1</x:v>
      </x:c>
      <x:c r="D12" s="28" t="n">
        <x:v>4.21750212404418</x:v>
      </x:c>
      <x:c r="E12" s="104" t="n">
        <x:v>0.05900533857825232</x:v>
      </x:c>
      <x:c r="F12" s="104" t="n">
        <x:v>0.11182916549592582</x:v>
      </x:c>
      <x:c r="G12" s="104" t="n">
        <x:v>0.11779534634822714</x:v>
      </x:c>
      <x:c r="H12" s="25" t="str">
        <x:f>IF(AND(B12&gt;=500,D12&lt;'KPI Inputs'!$B$11),"Priority","Monitor")</x:f>
        <x:v>Monitor</x:v>
      </x:c>
      <x:c r="J12" t="str">
        <x:f>A12</x:f>
        <x:v>cool stuff</x:v>
      </x:c>
      <x:c r="K12" t="n">
        <x:f>C12</x:f>
        <x:v>610204.1</x:v>
      </x:c>
    </x:row>
    <x:row r="13" ht="15" hidden="0" customHeight="1">
      <x:c r="A13" s="25" t="str">
        <x:v>auto</x:v>
      </x:c>
      <x:c r="B13" s="30" t="n">
        <x:v>3809</x:v>
      </x:c>
      <x:c r="C13" s="112" t="n">
        <x:v>578849.35</x:v>
      </x:c>
      <x:c r="D13" s="28" t="n">
        <x:v>4.1450804537061465</x:v>
      </x:c>
      <x:c r="E13" s="104" t="n">
        <x:v>0.07298503544237332</x:v>
      </x:c>
      <x:c r="F13" s="104" t="n">
        <x:v>0.12943029666579153</x:v>
      </x:c>
      <x:c r="G13" s="104" t="n">
        <x:v>0.13516790296634235</x:v>
      </x:c>
      <x:c r="H13" s="25" t="str">
        <x:f>IF(AND(B13&gt;=500,D13&lt;'KPI Inputs'!$B$11),"Priority","Monitor")</x:f>
        <x:v>Priority</x:v>
      </x:c>
      <x:c r="J13" t="str">
        <x:f>A13</x:f>
        <x:v>auto</x:v>
      </x:c>
      <x:c r="K13" t="n">
        <x:f>C13</x:f>
        <x:v>578849.35</x:v>
      </x:c>
    </x:row>
    <x:row r="14" ht="15" hidden="0" customHeight="1">
      <x:c r="A14" s="25" t="str">
        <x:v>toys</x:v>
      </x:c>
      <x:c r="B14" s="30" t="n">
        <x:v>3803</x:v>
      </x:c>
      <x:c r="C14" s="112" t="n">
        <x:v>471097.49</x:v>
      </x:c>
      <x:c r="D14" s="28" t="n">
        <x:v>4.23747680890538</x:v>
      </x:c>
      <x:c r="E14" s="104" t="n">
        <x:v>0.063896923481462</x:v>
      </x:c>
      <x:c r="F14" s="104" t="n">
        <x:v>0.11306863002892453</x:v>
      </x:c>
      <x:c r="G14" s="104" t="n">
        <x:v>0.13853535308096582</x:v>
      </x:c>
      <x:c r="H14" s="25" t="str">
        <x:f>IF(AND(B14&gt;=500,D14&lt;'KPI Inputs'!$B$11),"Priority","Monitor")</x:f>
        <x:v>Monitor</x:v>
      </x:c>
      <x:c r="J14" t="str">
        <x:f>A14</x:f>
        <x:v>toys</x:v>
      </x:c>
      <x:c r="K14" t="n">
        <x:f>C14</x:f>
        <x:v>471097.49</x:v>
      </x:c>
    </x:row>
    <x:row r="15" ht="15" hidden="0" customHeight="1">
      <x:c r="A15" s="25" t="str">
        <x:v>garden tools</x:v>
      </x:c>
      <x:c r="B15" s="30" t="n">
        <x:v>3448</x:v>
      </x:c>
      <x:c r="C15" s="112" t="n">
        <x:v>470495.27999999997</x:v>
      </x:c>
      <x:c r="D15" s="28" t="n">
        <x:v>4.180280046674445</x:v>
      </x:c>
      <x:c r="E15" s="104" t="n">
        <x:v>0.06525522041763342</x:v>
      </x:c>
      <x:c r="F15" s="104" t="n">
        <x:v>0.12180974477958237</x:v>
      </x:c>
      <x:c r="G15" s="104" t="n">
        <x:v>0.1704154742040881</x:v>
      </x:c>
      <x:c r="H15" s="25" t="str">
        <x:f>IF(AND(B15&gt;=500,D15&lt;'KPI Inputs'!$B$11),"Priority","Monitor")</x:f>
        <x:v>Monitor</x:v>
      </x:c>
    </x:row>
    <x:row r="16" ht="15" hidden="0" customHeight="1">
      <x:c r="A16" s="25" t="str">
        <x:v>baby</x:v>
      </x:c>
      <x:c r="B16" s="30" t="n">
        <x:v>2809</x:v>
      </x:c>
      <x:c r="C16" s="112" t="n">
        <x:v>400421.84</x:v>
      </x:c>
      <x:c r="D16" s="28" t="n">
        <x:v>4.103336921420882</x:v>
      </x:c>
      <x:c r="E16" s="104" t="n">
        <x:v>0.08045567817728728</x:v>
      </x:c>
      <x:c r="F16" s="104" t="n">
        <x:v>0.141687433250267</x:v>
      </x:c>
      <x:c r="G16" s="104" t="n">
        <x:v>0.1420653136791874</x:v>
      </x:c>
      <x:c r="H16" s="25" t="str">
        <x:f>IF(AND(B16&gt;=500,D16&lt;'KPI Inputs'!$B$11),"Priority","Monitor")</x:f>
        <x:v>Priority</x:v>
      </x:c>
    </x:row>
    <x:row r="17" ht="15" hidden="0" customHeight="1">
      <x:c r="A17" s="25" t="str">
        <x:v>perfumery</x:v>
      </x:c>
      <x:c r="B17" s="30" t="n">
        <x:v>3086</x:v>
      </x:c>
      <x:c r="C17" s="112" t="n">
        <x:v>390144.65</x:v>
      </x:c>
      <x:c r="D17" s="28" t="n">
        <x:v>4.261378413524057</x:v>
      </x:c>
      <x:c r="E17" s="104" t="n">
        <x:v>0.06545690213869086</x:v>
      </x:c>
      <x:c r="F17" s="104" t="n">
        <x:v>0.11730395333765392</x:v>
      </x:c>
      <x:c r="G17" s="104" t="n">
        <x:v>0.11965337221608703</x:v>
      </x:c>
      <x:c r="H17" s="25" t="str">
        <x:f>IF(AND(B17&gt;=500,D17&lt;'KPI Inputs'!$B$11),"Priority","Monitor")</x:f>
        <x:v>Monitor</x:v>
      </x:c>
    </x:row>
    <x:row r="18" ht="15" hidden="0" customHeight="1">
      <x:c r="A18" s="25" t="str">
        <x:v>telephony</x:v>
      </x:c>
      <x:c r="B18" s="30" t="n">
        <x:v>4093</x:v>
      </x:c>
      <x:c r="C18" s="112" t="n">
        <x:v>309860.23</x:v>
      </x:c>
      <x:c r="D18" s="28" t="n">
        <x:v>4.051855492750062</x:v>
      </x:c>
      <x:c r="E18" s="104" t="n">
        <x:v>0.07109699486928903</x:v>
      </x:c>
      <x:c r="F18" s="104" t="n">
        <x:v>0.14048375274859518</x:v>
      </x:c>
      <x:c r="G18" s="104" t="n">
        <x:v>0.1828636890747221</x:v>
      </x:c>
      <x:c r="H18" s="25" t="str">
        <x:f>IF(AND(B18&gt;=500,D18&lt;'KPI Inputs'!$B$11),"Priority","Monitor")</x:f>
        <x:v>Priority</x:v>
      </x:c>
    </x:row>
    <x:row r="19" ht="15" hidden="0" customHeight="1">
      <x:c r="A19" s="25" t="str">
        <x:v>office furniture</x:v>
      </x:c>
      <x:c r="B19" s="30" t="n">
        <x:v>1254</x:v>
      </x:c>
      <x:c r="C19" s="112" t="n">
        <x:v>268154.31</x:v>
      </x:c>
      <x:c r="D19" s="28" t="n">
        <x:v>3.644694533762058</x:v>
      </x:c>
      <x:c r="E19" s="104" t="n">
        <x:v>0.08054226475279107</x:v>
      </x:c>
      <x:c r="F19" s="104" t="n">
        <x:v>0.21770334928229665</x:v>
      </x:c>
      <x:c r="G19" s="104" t="n">
        <x:v>0.20004408561810078</x:v>
      </x:c>
      <x:c r="H19" s="25" t="str">
        <x:f>IF(AND(B19&gt;=500,D19&lt;'KPI Inputs'!$B$11),"Priority","Monitor")</x:f>
        <x:v>Priority</x:v>
      </x:c>
    </x:row>
  </x:sheetData>
  <x:mergeCells>
    <x:mergeCell ref="A1:I1"/>
    <x:mergeCell ref="A2:I2"/>
  </x:mergeCells>
  <x:conditionalFormatting sqref="H5:H19">
    <x:cfRule type="containsText" dxfId="0" priority="1" operator="containsText" text="Priority"/>
  </x:conditionalFormatting>
  <x:pageMargins left="0.7" right="0.7" top="0.75" bottom="0.75" header="0.3" footer="0.3"/>
  <x:drawing xmlns:r="http://schemas.openxmlformats.org/officeDocument/2006/relationships" r:id="R369913d5c483403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1.600000381469727" hidden="0" customHeight="1">
      <x:c r="A1" s="3" t="str">
        <x:v>State Performance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States with at least 500 delivered orders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8" t="str">
        <x:v>State</x:v>
      </x:c>
      <x:c r="B4" s="19" t="str">
        <x:v>Orders</x:v>
      </x:c>
      <x:c r="C4" s="19" t="str">
        <x:v>GMV (BRL)</x:v>
      </x:c>
      <x:c r="D4" s="19" t="str">
        <x:v>Freight burden</x:v>
      </x:c>
      <x:c r="E4" s="19" t="str">
        <x:v>Late rate</x:v>
      </x:c>
      <x:c r="F4" s="19" t="str">
        <x:v>Delivery days</x:v>
      </x:c>
      <x:c r="G4" s="20" t="str">
        <x:v>Avg review</x:v>
      </x:c>
    </x:row>
    <x:row r="5" ht="15" hidden="0" customHeight="1">
      <x:c r="A5" s="24" t="str">
        <x:v>SP</x:v>
      </x:c>
      <x:c r="B5" s="26" t="n">
        <x:v>40494</x:v>
      </x:c>
      <x:c r="C5" s="111" t="n">
        <x:v>5066562.98</x:v>
      </x:c>
      <x:c r="D5" s="103" t="n">
        <x:v>0.12168727253896534</x:v>
      </x:c>
      <x:c r="E5" s="103" t="n">
        <x:v>0.044944930113103174</x:v>
      </x:c>
      <x:c r="F5" s="102" t="n">
        <x:v>8.761385996084925</x:v>
      </x:c>
      <x:c r="G5" s="102" t="n">
        <x:v>4.2457904932200865</x:v>
      </x:c>
    </x:row>
    <x:row r="6" ht="15" hidden="0" customHeight="1">
      <x:c r="A6" s="25" t="str">
        <x:v>RJ</x:v>
      </x:c>
      <x:c r="B6" s="30" t="n">
        <x:v>12350</x:v>
      </x:c>
      <x:c r="C6" s="112" t="n">
        <x:v>1759651.1300000001</x:v>
      </x:c>
      <x:c r="D6" s="104" t="n">
        <x:v>0.14388937145747144</x:v>
      </x:c>
      <x:c r="E6" s="104" t="n">
        <x:v>0.12105263157894737</x:v>
      </x:c>
      <x:c r="F6" s="28" t="n">
        <x:v>15.30943754217274</x:v>
      </x:c>
      <x:c r="G6" s="28" t="n">
        <x:v>3.965440995823438</x:v>
      </x:c>
    </x:row>
    <x:row r="7" ht="15" hidden="0" customHeight="1">
      <x:c r="A7" s="25" t="str">
        <x:v>MG</x:v>
      </x:c>
      <x:c r="B7" s="30" t="n">
        <x:v>11354</x:v>
      </x:c>
      <x:c r="C7" s="112" t="n">
        <x:v>1552481.83</x:v>
      </x:c>
      <x:c r="D7" s="104" t="n">
        <x:v>0.14646822809408985</x:v>
      </x:c>
      <x:c r="E7" s="104" t="n">
        <x:v>0.04571076272679232</x:v>
      </x:c>
      <x:c r="F7" s="28" t="n">
        <x:v>12.008665646060452</x:v>
      </x:c>
      <x:c r="G7" s="28" t="n">
        <x:v>4.192290651307045</x:v>
      </x:c>
    </x:row>
    <x:row r="8" ht="15" hidden="0" customHeight="1">
      <x:c r="A8" s="25" t="str">
        <x:v>RS</x:v>
      </x:c>
      <x:c r="B8" s="30" t="n">
        <x:v>5344</x:v>
      </x:c>
      <x:c r="C8" s="112" t="n">
        <x:v>728718.47</x:v>
      </x:c>
      <x:c r="D8" s="104" t="n">
        <x:v>0.15391104661941113</x:v>
      </x:c>
      <x:c r="E8" s="104" t="n">
        <x:v>0.06081586826347305</x:v>
      </x:c>
      <x:c r="F8" s="28" t="n">
        <x:v>15.300276192406853</x:v>
      </x:c>
      <x:c r="G8" s="28" t="n">
        <x:v>4.184754036800601</x:v>
      </x:c>
    </x:row>
    <x:row r="9" ht="15" hidden="0" customHeight="1">
      <x:c r="A9" s="25" t="str">
        <x:v>PR</x:v>
      </x:c>
      <x:c r="B9" s="30" t="n">
        <x:v>4923</x:v>
      </x:c>
      <x:c r="C9" s="112" t="n">
        <x:v>666063.51</x:v>
      </x:c>
      <x:c r="D9" s="104" t="n">
        <x:v>0.1479390918971361</x:v>
      </x:c>
      <x:c r="E9" s="104" t="n">
        <x:v>0.04042250660166565</x:v>
      </x:c>
      <x:c r="F9" s="28" t="n">
        <x:v>11.991582227413277</x:v>
      </x:c>
      <x:c r="G9" s="28" t="n">
        <x:v>4.239795918367347</x:v>
      </x:c>
    </x:row>
    <x:row r="10" ht="15" hidden="0" customHeight="1">
      <x:c r="A10" s="25" t="str">
        <x:v>SC</x:v>
      </x:c>
      <x:c r="B10" s="30" t="n">
        <x:v>3546</x:v>
      </x:c>
      <x:c r="C10" s="112" t="n">
        <x:v>507012.13</x:v>
      </x:c>
      <x:c r="D10" s="104" t="n">
        <x:v>0.14806173222160793</x:v>
      </x:c>
      <x:c r="E10" s="104" t="n">
        <x:v>0.08206429780033841</x:v>
      </x:c>
      <x:c r="F10" s="28" t="n">
        <x:v>14.954782876767771</x:v>
      </x:c>
      <x:c r="G10" s="28" t="n">
        <x:v>4.133560670645069</x:v>
      </x:c>
    </x:row>
    <x:row r="11" ht="15" hidden="0" customHeight="1">
      <x:c r="A11" s="25" t="str">
        <x:v>BA</x:v>
      </x:c>
      <x:c r="B11" s="30" t="n">
        <x:v>3256</x:v>
      </x:c>
      <x:c r="C11" s="112" t="n">
        <x:v>493584.14</x:v>
      </x:c>
      <x:c r="D11" s="104" t="n">
        <x:v>0.1650269503146821</x:v>
      </x:c>
      <x:c r="E11" s="104" t="n">
        <x:v>0.12162162162162163</x:v>
      </x:c>
      <x:c r="F11" s="28" t="n">
        <x:v>19.335465824489262</x:v>
      </x:c>
      <x:c r="G11" s="28" t="n">
        <x:v>3.930628677609167</x:v>
      </x:c>
    </x:row>
    <x:row r="12" ht="15" hidden="0" customHeight="1">
      <x:c r="A12" s="25" t="str">
        <x:v>DF</x:v>
      </x:c>
      <x:c r="B12" s="30" t="n">
        <x:v>2080</x:v>
      </x:c>
      <x:c r="C12" s="112" t="n">
        <x:v>296498.41</x:v>
      </x:c>
      <x:c r="D12" s="104" t="n">
        <x:v>0.14337356898920575</x:v>
      </x:c>
      <x:c r="E12" s="104" t="n">
        <x:v>0.05673076923076923</x:v>
      </x:c>
      <x:c r="F12" s="28" t="n">
        <x:v>12.96756810897436</x:v>
      </x:c>
      <x:c r="G12" s="28" t="n">
        <x:v>4.131400966183575</x:v>
      </x:c>
    </x:row>
    <x:row r="13" ht="15" hidden="0" customHeight="1">
      <x:c r="A13" s="25" t="str">
        <x:v>GO</x:v>
      </x:c>
      <x:c r="B13" s="30" t="n">
        <x:v>1957</x:v>
      </x:c>
      <x:c r="C13" s="112" t="n">
        <x:v>282836.7</x:v>
      </x:c>
      <x:c r="D13" s="104" t="n">
        <x:v>0.15372157851138654</x:v>
      </x:c>
      <x:c r="E13" s="104" t="n">
        <x:v>0.06540623403168115</x:v>
      </x:c>
      <x:c r="F13" s="28" t="n">
        <x:v>15.606338535456764</x:v>
      </x:c>
      <x:c r="G13" s="28" t="n">
        <x:v>4.105858170606372</x:v>
      </x:c>
    </x:row>
    <x:row r="14" ht="15" hidden="0" customHeight="1">
      <x:c r="A14" s="25" t="str">
        <x:v>ES</x:v>
      </x:c>
      <x:c r="B14" s="30" t="n">
        <x:v>1995</x:v>
      </x:c>
      <x:c r="C14" s="112" t="n">
        <x:v>268643.45</x:v>
      </x:c>
      <x:c r="D14" s="104" t="n">
        <x:v>0.15429956368474732</x:v>
      </x:c>
      <x:c r="E14" s="104" t="n">
        <x:v>0.10726817042606517</x:v>
      </x:c>
      <x:c r="F14" s="28" t="n">
        <x:v>15.789307110368513</x:v>
      </x:c>
      <x:c r="G14" s="28" t="n">
        <x:v>4.078720162519045</x:v>
      </x:c>
    </x:row>
    <x:row r="15" ht="15" hidden="0" customHeight="1">
      <x:c r="A15" s="25" t="str">
        <x:v>PE</x:v>
      </x:c>
      <x:c r="B15" s="30" t="n">
        <x:v>1593</x:v>
      </x:c>
      <x:c r="C15" s="112" t="n">
        <x:v>251889.49</x:v>
      </x:c>
      <x:c r="D15" s="104" t="n">
        <x:v>0.1847499150813156</x:v>
      </x:c>
      <x:c r="E15" s="104" t="n">
        <x:v>0.096045197740113</x:v>
      </x:c>
      <x:c r="F15" s="28" t="n">
        <x:v>18.448322994408407</x:v>
      </x:c>
      <x:c r="G15" s="28" t="n">
        <x:v>4.082963901203294</x:v>
      </x:c>
    </x:row>
    <x:row r="16" ht="15" hidden="0" customHeight="1">
      <x:c r="A16" s="25" t="str">
        <x:v>CE</x:v>
      </x:c>
      <x:c r="B16" s="30" t="n">
        <x:v>1279</x:v>
      </x:c>
      <x:c r="C16" s="112" t="n">
        <x:v>219757.38</x:v>
      </x:c>
      <x:c r="D16" s="104" t="n">
        <x:v>0.1751987535354073</x:v>
      </x:c>
      <x:c r="E16" s="104" t="n">
        <x:v>0.1376075058639562</x:v>
      </x:c>
      <x:c r="F16" s="28" t="n">
        <x:v>21.26657863492891</x:v>
      </x:c>
      <x:c r="G16" s="28" t="n">
        <x:v>3.9442262372348784</x:v>
      </x:c>
    </x:row>
    <x:row r="17" ht="15" hidden="0" customHeight="1">
      <x:c r="A17" s="25" t="str">
        <x:v>PA</x:v>
      </x:c>
      <x:c r="B17" s="30" t="n">
        <x:v>946</x:v>
      </x:c>
      <x:c r="C17" s="112" t="n">
        <x:v>174470.59</x:v>
      </x:c>
      <x:c r="D17" s="104" t="n">
        <x:v>0.17711700637811165</x:v>
      </x:c>
      <x:c r="E17" s="104" t="n">
        <x:v>0.11205073995771671</x:v>
      </x:c>
      <x:c r="F17" s="28" t="n">
        <x:v>23.77291691136168</x:v>
      </x:c>
      <x:c r="G17" s="28" t="n">
        <x:v>3.9142550911039655</x:v>
      </x:c>
    </x:row>
    <x:row r="18" ht="15" hidden="0" customHeight="1">
      <x:c r="A18" s="25" t="str">
        <x:v>MT</x:v>
      </x:c>
      <x:c r="B18" s="30" t="n">
        <x:v>886</x:v>
      </x:c>
      <x:c r="C18" s="112" t="n">
        <x:v>152191.62</x:v>
      </x:c>
      <x:c r="D18" s="104" t="n">
        <x:v>0.16020357521353912</x:v>
      </x:c>
      <x:c r="E18" s="104" t="n">
        <x:v>0.05981941309255079</x:v>
      </x:c>
      <x:c r="F18" s="28" t="n">
        <x:v>18.05575601172561</x:v>
      </x:c>
      <x:c r="G18" s="28" t="n">
        <x:v>4.145620022753128</x:v>
      </x:c>
    </x:row>
    <x:row r="19" ht="15" hidden="0" customHeight="1">
      <x:c r="A19" s="25" t="str">
        <x:v>MA</x:v>
      </x:c>
      <x:c r="B19" s="30" t="n">
        <x:v>717</x:v>
      </x:c>
      <x:c r="C19" s="112" t="n">
        <x:v>117009.38</x:v>
      </x:c>
      <x:c r="D19" s="104" t="n">
        <x:v>0.20834526640259995</x:v>
      </x:c>
      <x:c r="E19" s="104" t="n">
        <x:v>0.17433751743375175</x:v>
      </x:c>
      <x:c r="F19" s="28" t="n">
        <x:v>21.572976474120562</x:v>
      </x:c>
      <x:c r="G19" s="28" t="n">
        <x:v>3.832865168539326</x:v>
      </x:c>
    </x:row>
    <x:row r="20" ht="15" hidden="0" customHeight="1">
      <x:c r="A20" s="25" t="str">
        <x:v>MS</x:v>
      </x:c>
      <x:c r="B20" s="30" t="n">
        <x:v>701</x:v>
      </x:c>
      <x:c r="C20" s="112" t="n">
        <x:v>115429.97</x:v>
      </x:c>
      <x:c r="D20" s="104" t="n">
        <x:v>0.14093864180748997</x:v>
      </x:c>
      <x:c r="E20" s="104" t="n">
        <x:v>0.09700427960057062</x:v>
      </x:c>
      <x:c r="F20" s="28" t="n">
        <x:v>15.618319018465684</x:v>
      </x:c>
      <x:c r="G20" s="28" t="n">
        <x:v>4.161659513590844</x:v>
      </x:c>
    </x:row>
    <x:row r="21" ht="15" hidden="0" customHeight="1">
      <x:c r="A21" s="25" t="str">
        <x:v>PB</x:v>
      </x:c>
      <x:c r="B21" s="30" t="n">
        <x:v>517</x:v>
      </x:c>
      <x:c r="C21" s="112" t="n">
        <x:v>112586.82</x:v>
      </x:c>
      <x:c r="D21" s="104" t="n">
        <x:v>0.1831978789678214</x:v>
      </x:c>
      <x:c r="E21" s="104" t="n">
        <x:v>0.10444874274661509</x:v>
      </x:c>
      <x:c r="F21" s="28" t="n">
        <x:v>20.426767609606706</x:v>
      </x:c>
      <x:c r="G21" s="28" t="n">
        <x:v>4.076171875</x:v>
      </x:c>
    </x:row>
  </x:sheetData>
  <x:mergeCells>
    <x:mergeCell ref="A1:G1"/>
    <x:mergeCell ref="A2:G2"/>
  </x:mergeCells>
  <x:conditionalFormatting sqref="D5:E21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1.600000381469727" hidden="0" customHeight="1">
      <x:c r="A1" s="3" t="str">
        <x:v>Seller Operational-Risk Screen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6" t="str">
        <x:v>Transparent rule: at least 100 orders and above the overall delay and low-review benchmarks</x:v>
      </x:c>
      <x:c r="B2" s="6"/>
      <x:c r="C2" s="6"/>
      <x:c r="D2" s="6"/>
      <x:c r="E2" s="6"/>
      <x:c r="F2" s="6"/>
      <x:c r="G2" s="6"/>
      <x:c r="H2" s="6"/>
      <x:c r="I2" s="6"/>
    </x:row>
    <x:row r="3"/>
    <x:row r="4" ht="15" hidden="0" customHeight="1">
      <x:c r="A4" s="18" t="str">
        <x:v>Seller ID</x:v>
      </x:c>
      <x:c r="B4" s="19" t="str">
        <x:v>State</x:v>
      </x:c>
      <x:c r="C4" s="19" t="str">
        <x:v>Orders</x:v>
      </x:c>
      <x:c r="D4" s="19" t="str">
        <x:v>GMV (BRL)</x:v>
      </x:c>
      <x:c r="E4" s="19" t="str">
        <x:v>Avg review</x:v>
      </x:c>
      <x:c r="F4" s="19" t="str">
        <x:v>Late rate</x:v>
      </x:c>
      <x:c r="G4" s="19" t="str">
        <x:v>Low-review rate</x:v>
      </x:c>
      <x:c r="H4" s="19" t="str">
        <x:v>Low-review orders</x:v>
      </x:c>
      <x:c r="I4" s="20" t="str">
        <x:v>Action</x:v>
      </x:c>
    </x:row>
    <x:row r="5" ht="15" hidden="0" customHeight="1">
      <x:c r="A5" s="24" t="str">
        <x:v>4a3ca9315b744ce9f8e9374361493884</x:v>
      </x:c>
      <x:c r="B5" s="24" t="str">
        <x:v>SP</x:v>
      </x:c>
      <x:c r="C5" s="26" t="n">
        <x:v>1772</x:v>
      </x:c>
      <x:c r="D5" s="111" t="n">
        <x:v>196882.12</x:v>
      </x:c>
      <x:c r="E5" s="102" t="n">
        <x:v>3.8533941814</x:v>
      </x:c>
      <x:c r="F5" s="103" t="n">
        <x:v>0.0970654628</x:v>
      </x:c>
      <x:c r="G5" s="103" t="n">
        <x:v>0.1828442438</x:v>
      </x:c>
      <x:c r="H5" s="26" t="n">
        <x:v>324</x:v>
      </x:c>
      <x:c r="I5" s="24" t="str">
        <x:f>IF(AND(C5&gt;=100,F5&gt;'KPI Inputs'!$B$10,G5&gt;'KPI Inputs'!$B$12),"Investigate","Monitor")</x:f>
        <x:v>Investigate</x:v>
      </x:c>
    </x:row>
    <x:row r="6" ht="15" hidden="0" customHeight="1">
      <x:c r="A6" s="25" t="str">
        <x:v>7c67e1448b00f6e969d365cea6b010ab</x:v>
      </x:c>
      <x:c r="B6" s="25" t="str">
        <x:v>SP</x:v>
      </x:c>
      <x:c r="C6" s="30" t="n">
        <x:v>973</x:v>
      </x:c>
      <x:c r="D6" s="112" t="n">
        <x:v>186570.05</x:v>
      </x:c>
      <x:c r="E6" s="28" t="n">
        <x:v>3.4984488108</x:v>
      </x:c>
      <x:c r="F6" s="104" t="n">
        <x:v>0.0914696814</x:v>
      </x:c>
      <x:c r="G6" s="104" t="n">
        <x:v>0.2528263104</x:v>
      </x:c>
      <x:c r="H6" s="30" t="n">
        <x:v>246</x:v>
      </x:c>
      <x:c r="I6" s="25" t="str">
        <x:f>IF(AND(C6&gt;=100,F6&gt;'KPI Inputs'!$B$10,G6&gt;'KPI Inputs'!$B$12),"Investigate","Monitor")</x:f>
        <x:v>Investigate</x:v>
      </x:c>
    </x:row>
    <x:row r="7" ht="15" hidden="0" customHeight="1">
      <x:c r="A7" s="25" t="str">
        <x:v>1f50f920176fa81dab994f9023523100</x:v>
      </x:c>
      <x:c r="B7" s="25" t="str">
        <x:v>SP</x:v>
      </x:c>
      <x:c r="C7" s="30" t="n">
        <x:v>1399</x:v>
      </x:c>
      <x:c r="D7" s="112" t="n">
        <x:v>106655.71</x:v>
      </x:c>
      <x:c r="E7" s="28" t="n">
        <x:v>4.1406025825</x:v>
      </x:c>
      <x:c r="F7" s="104" t="n">
        <x:v>0.0886347391</x:v>
      </x:c>
      <x:c r="G7" s="104" t="n">
        <x:v>0.1393852752</x:v>
      </x:c>
      <x:c r="H7" s="30" t="n">
        <x:v>195</x:v>
      </x:c>
      <x:c r="I7" s="25" t="str">
        <x:f>IF(AND(C7&gt;=100,F7&gt;'KPI Inputs'!$B$10,G7&gt;'KPI Inputs'!$B$12),"Investigate","Monitor")</x:f>
        <x:v>Investigate</x:v>
      </x:c>
    </x:row>
    <x:row r="8" ht="15" hidden="0" customHeight="1">
      <x:c r="A8" s="25" t="str">
        <x:v>ea8482cd71df3c1969d7b9473ff13abc</x:v>
      </x:c>
      <x:c r="B8" s="25" t="str">
        <x:v>SP</x:v>
      </x:c>
      <x:c r="C8" s="30" t="n">
        <x:v>1132</x:v>
      </x:c>
      <x:c r="D8" s="112" t="n">
        <x:v>36696.76</x:v>
      </x:c>
      <x:c r="E8" s="28" t="n">
        <x:v>4.026642984</x:v>
      </x:c>
      <x:c r="F8" s="104" t="n">
        <x:v>0.0848056537</x:v>
      </x:c>
      <x:c r="G8" s="104" t="n">
        <x:v>0.1448763251</x:v>
      </x:c>
      <x:c r="H8" s="30" t="n">
        <x:v>164</x:v>
      </x:c>
      <x:c r="I8" s="25" t="str">
        <x:f>IF(AND(C8&gt;=100,F8&gt;'KPI Inputs'!$B$10,G8&gt;'KPI Inputs'!$B$12),"Investigate","Monitor")</x:f>
        <x:v>Investigate</x:v>
      </x:c>
    </x:row>
    <x:row r="9" ht="15" hidden="0" customHeight="1">
      <x:c r="A9" s="25" t="str">
        <x:v>1025f0e2d44d7041d6cf58b6550e0bfa</x:v>
      </x:c>
      <x:c r="B9" s="25" t="str">
        <x:v>SP</x:v>
      </x:c>
      <x:c r="C9" s="30" t="n">
        <x:v>910</x:v>
      </x:c>
      <x:c r="D9" s="112" t="n">
        <x:v>138208.56</x:v>
      </x:c>
      <x:c r="E9" s="28" t="n">
        <x:v>4.0066518847</x:v>
      </x:c>
      <x:c r="F9" s="104" t="n">
        <x:v>0.0791208791</x:v>
      </x:c>
      <x:c r="G9" s="104" t="n">
        <x:v>0.1681318681</x:v>
      </x:c>
      <x:c r="H9" s="30" t="n">
        <x:v>153</x:v>
      </x:c>
      <x:c r="I9" s="25" t="str">
        <x:f>IF(AND(C9&gt;=100,F9&gt;'KPI Inputs'!$B$10,G9&gt;'KPI Inputs'!$B$12),"Investigate","Monitor")</x:f>
        <x:v>Investigate</x:v>
      </x:c>
    </x:row>
    <x:row r="10" ht="15" hidden="0" customHeight="1">
      <x:c r="A10" s="25" t="str">
        <x:v>4869f7a5dfa277a7dca6462dcf3b52b2</x:v>
      </x:c>
      <x:c r="B10" s="25" t="str">
        <x:v>SP</x:v>
      </x:c>
      <x:c r="C10" s="30" t="n">
        <x:v>1124</x:v>
      </x:c>
      <x:c r="D10" s="112" t="n">
        <x:v>226987.93</x:v>
      </x:c>
      <x:c r="E10" s="28" t="n">
        <x:v>4.1505376344</x:v>
      </x:c>
      <x:c r="F10" s="104" t="n">
        <x:v>0.1049822064</x:v>
      </x:c>
      <x:c r="G10" s="104" t="n">
        <x:v>0.1298932384</x:v>
      </x:c>
      <x:c r="H10" s="30" t="n">
        <x:v>146</x:v>
      </x:c>
      <x:c r="I10" s="25" t="str">
        <x:f>IF(AND(C10&gt;=100,F10&gt;'KPI Inputs'!$B$10,G10&gt;'KPI Inputs'!$B$12),"Investigate","Monitor")</x:f>
        <x:v>Investigate</x:v>
      </x:c>
    </x:row>
    <x:row r="11" ht="15" hidden="0" customHeight="1">
      <x:c r="A11" s="25" t="str">
        <x:v>8b321bb669392f5163d04c59e235e066</x:v>
      </x:c>
      <x:c r="B11" s="25" t="str">
        <x:v>SP</x:v>
      </x:c>
      <x:c r="C11" s="30" t="n">
        <x:v>930</x:v>
      </x:c>
      <x:c r="D11" s="112" t="n">
        <x:v>17262.94</x:v>
      </x:c>
      <x:c r="E11" s="28" t="n">
        <x:v>4.1047516199</x:v>
      </x:c>
      <x:c r="F11" s="104" t="n">
        <x:v>0.0870967742</x:v>
      </x:c>
      <x:c r="G11" s="104" t="n">
        <x:v>0.1408602151</x:v>
      </x:c>
      <x:c r="H11" s="30" t="n">
        <x:v>131</x:v>
      </x:c>
      <x:c r="I11" s="25" t="str">
        <x:f>IF(AND(C11&gt;=100,F11&gt;'KPI Inputs'!$B$10,G11&gt;'KPI Inputs'!$B$12),"Investigate","Monitor")</x:f>
        <x:v>Investigate</x:v>
      </x:c>
    </x:row>
    <x:row r="12" ht="15" hidden="0" customHeight="1">
      <x:c r="A12" s="25" t="str">
        <x:v>1835b56ce799e6a4dc4eddc053f04066</x:v>
      </x:c>
      <x:c r="B12" s="25" t="str">
        <x:v>SP</x:v>
      </x:c>
      <x:c r="C12" s="30" t="n">
        <x:v>417</x:v>
      </x:c>
      <x:c r="D12" s="112" t="n">
        <x:v>33005.32</x:v>
      </x:c>
      <x:c r="E12" s="28" t="n">
        <x:v>3.6666666667</x:v>
      </x:c>
      <x:c r="F12" s="104" t="n">
        <x:v>0.103117506</x:v>
      </x:c>
      <x:c r="G12" s="104" t="n">
        <x:v>0.2374100719</x:v>
      </x:c>
      <x:c r="H12" s="30" t="n">
        <x:v>99</x:v>
      </x:c>
      <x:c r="I12" s="25" t="str">
        <x:f>IF(AND(C12&gt;=100,F12&gt;'KPI Inputs'!$B$10,G12&gt;'KPI Inputs'!$B$12),"Investigate","Monitor")</x:f>
        <x:v>Investigate</x:v>
      </x:c>
    </x:row>
    <x:row r="13" ht="15" hidden="0" customHeight="1">
      <x:c r="A13" s="25" t="str">
        <x:v>7d13fca15225358621be4086e1eb0964</x:v>
      </x:c>
      <x:c r="B13" s="25" t="str">
        <x:v>SP</x:v>
      </x:c>
      <x:c r="C13" s="30" t="n">
        <x:v>558</x:v>
      </x:c>
      <x:c r="D13" s="112" t="n">
        <x:v>112436.18</x:v>
      </x:c>
      <x:c r="E13" s="28" t="n">
        <x:v>4.0414414414</x:v>
      </x:c>
      <x:c r="F13" s="104" t="n">
        <x:v>0.1146953405</x:v>
      </x:c>
      <x:c r="G13" s="104" t="n">
        <x:v>0.1702508961</x:v>
      </x:c>
      <x:c r="H13" s="30" t="n">
        <x:v>95</x:v>
      </x:c>
      <x:c r="I13" s="25" t="str">
        <x:f>IF(AND(C13&gt;=100,F13&gt;'KPI Inputs'!$B$10,G13&gt;'KPI Inputs'!$B$12),"Investigate","Monitor")</x:f>
        <x:v>Investigate</x:v>
      </x:c>
    </x:row>
    <x:row r="14" ht="15" hidden="0" customHeight="1">
      <x:c r="A14" s="25" t="str">
        <x:v>2eb70248d66e0e3ef83659f71b244378</x:v>
      </x:c>
      <x:c r="B14" s="25" t="str">
        <x:v>SP</x:v>
      </x:c>
      <x:c r="C14" s="30" t="n">
        <x:v>187</x:v>
      </x:c>
      <x:c r="D14" s="112" t="n">
        <x:v>38990.72</x:v>
      </x:c>
      <x:c r="E14" s="28" t="n">
        <x:v>2.7934782609</x:v>
      </x:c>
      <x:c r="F14" s="104" t="n">
        <x:v>0.1122994652</x:v>
      </x:c>
      <x:c r="G14" s="104" t="n">
        <x:v>0.4652406417</x:v>
      </x:c>
      <x:c r="H14" s="30" t="n">
        <x:v>87</x:v>
      </x:c>
      <x:c r="I14" s="25" t="str">
        <x:f>IF(AND(C14&gt;=100,F14&gt;'KPI Inputs'!$B$10,G14&gt;'KPI Inputs'!$B$12),"Investigate","Monitor")</x:f>
        <x:v>Investigate</x:v>
      </x:c>
    </x:row>
    <x:row r="15" ht="15" hidden="0" customHeight="1">
      <x:c r="A15" s="25" t="str">
        <x:v>391fc6631aebcf3004804e51b40bcf1e</x:v>
      </x:c>
      <x:c r="B15" s="25" t="str">
        <x:v>SP</x:v>
      </x:c>
      <x:c r="C15" s="30" t="n">
        <x:v>521</x:v>
      </x:c>
      <x:c r="D15" s="112" t="n">
        <x:v>39475.3</x:v>
      </x:c>
      <x:c r="E15" s="28" t="n">
        <x:v>4.0444015444</x:v>
      </x:c>
      <x:c r="F15" s="104" t="n">
        <x:v>0.0863723608</x:v>
      </x:c>
      <x:c r="G15" s="104" t="n">
        <x:v>0.1477927063</x:v>
      </x:c>
      <x:c r="H15" s="30" t="n">
        <x:v>77</x:v>
      </x:c>
      <x:c r="I15" s="25" t="str">
        <x:f>IF(AND(C15&gt;=100,F15&gt;'KPI Inputs'!$B$10,G15&gt;'KPI Inputs'!$B$12),"Investigate","Monitor")</x:f>
        <x:v>Investigate</x:v>
      </x:c>
    </x:row>
    <x:row r="16" ht="15" hidden="0" customHeight="1">
      <x:c r="A16" s="25" t="str">
        <x:v>1900267e848ceeba8fa32d80c1a5f5a8</x:v>
      </x:c>
      <x:c r="B16" s="25" t="str">
        <x:v>SP</x:v>
      </x:c>
      <x:c r="C16" s="30" t="n">
        <x:v>406</x:v>
      </x:c>
      <x:c r="D16" s="112" t="n">
        <x:v>24639.57</x:v>
      </x:c>
      <x:c r="E16" s="28" t="n">
        <x:v>3.8596491228</x:v>
      </x:c>
      <x:c r="F16" s="104" t="n">
        <x:v>0.0812807882</x:v>
      </x:c>
      <x:c r="G16" s="104" t="n">
        <x:v>0.1871921182</x:v>
      </x:c>
      <x:c r="H16" s="30" t="n">
        <x:v>76</x:v>
      </x:c>
      <x:c r="I16" s="25" t="str">
        <x:f>IF(AND(C16&gt;=100,F16&gt;'KPI Inputs'!$B$10,G16&gt;'KPI Inputs'!$B$12),"Investigate","Monitor")</x:f>
        <x:v>Investigate</x:v>
      </x:c>
    </x:row>
    <x:row r="17" ht="15" hidden="0" customHeight="1">
      <x:c r="A17" s="25" t="str">
        <x:v>88460e8ebdecbfecb5f9601833981930</x:v>
      </x:c>
      <x:c r="B17" s="25" t="str">
        <x:v>PR</x:v>
      </x:c>
      <x:c r="C17" s="30" t="n">
        <x:v>246</x:v>
      </x:c>
      <x:c r="D17" s="112" t="n">
        <x:v>31320.4</x:v>
      </x:c>
      <x:c r="E17" s="28" t="n">
        <x:v>3.4326530612</x:v>
      </x:c>
      <x:c r="F17" s="104" t="n">
        <x:v>0.1707317073</x:v>
      </x:c>
      <x:c r="G17" s="104" t="n">
        <x:v>0.3048780488</x:v>
      </x:c>
      <x:c r="H17" s="30" t="n">
        <x:v>75</x:v>
      </x:c>
      <x:c r="I17" s="25" t="str">
        <x:f>IF(AND(C17&gt;=100,F17&gt;'KPI Inputs'!$B$10,G17&gt;'KPI Inputs'!$B$12),"Investigate","Monitor")</x:f>
        <x:v>Investigate</x:v>
      </x:c>
    </x:row>
    <x:row r="18" ht="15" hidden="0" customHeight="1">
      <x:c r="A18" s="25" t="str">
        <x:v>4e922959ae960d389249c378d1c939f5</x:v>
      </x:c>
      <x:c r="B18" s="25" t="str">
        <x:v>SP</x:v>
      </x:c>
      <x:c r="C18" s="30" t="n">
        <x:v>412</x:v>
      </x:c>
      <x:c r="D18" s="112" t="n">
        <x:v>45338.42</x:v>
      </x:c>
      <x:c r="E18" s="28" t="n">
        <x:v>3.9632352941</x:v>
      </x:c>
      <x:c r="F18" s="104" t="n">
        <x:v>0.0898058252</x:v>
      </x:c>
      <x:c r="G18" s="104" t="n">
        <x:v>0.1796116505</x:v>
      </x:c>
      <x:c r="H18" s="30" t="n">
        <x:v>74</x:v>
      </x:c>
      <x:c r="I18" s="25" t="str">
        <x:f>IF(AND(C18&gt;=100,F18&gt;'KPI Inputs'!$B$10,G18&gt;'KPI Inputs'!$B$12),"Investigate","Monitor")</x:f>
        <x:v>Investigate</x:v>
      </x:c>
    </x:row>
    <x:row r="19" ht="15" hidden="0" customHeight="1">
      <x:c r="A19" s="25" t="str">
        <x:v>897060da8b9a21f655304d50fd935913</x:v>
      </x:c>
      <x:c r="B19" s="25" t="str">
        <x:v>SP</x:v>
      </x:c>
      <x:c r="C19" s="30" t="n">
        <x:v>304</x:v>
      </x:c>
      <x:c r="D19" s="112" t="n">
        <x:v>21740.51</x:v>
      </x:c>
      <x:c r="E19" s="28" t="n">
        <x:v>3.7176079734</x:v>
      </x:c>
      <x:c r="F19" s="104" t="n">
        <x:v>0.1052631579</x:v>
      </x:c>
      <x:c r="G19" s="104" t="n">
        <x:v>0.2302631579</x:v>
      </x:c>
      <x:c r="H19" s="30" t="n">
        <x:v>70</x:v>
      </x:c>
      <x:c r="I19" s="25" t="str">
        <x:f>IF(AND(C19&gt;=100,F19&gt;'KPI Inputs'!$B$10,G19&gt;'KPI Inputs'!$B$12),"Investigate","Monitor")</x:f>
        <x:v>Investigate</x:v>
      </x:c>
    </x:row>
    <x:row r="20" ht="15" hidden="0" customHeight="1">
      <x:c r="A20" s="25" t="str">
        <x:v>8160255418d5aaa7dbdc9f4c64ebda44</x:v>
      </x:c>
      <x:c r="B20" s="25" t="str">
        <x:v>SP</x:v>
      </x:c>
      <x:c r="C20" s="30" t="n">
        <x:v>380</x:v>
      </x:c>
      <x:c r="D20" s="112" t="n">
        <x:v>46368.39</x:v>
      </x:c>
      <x:c r="E20" s="28" t="n">
        <x:v>3.954787234</x:v>
      </x:c>
      <x:c r="F20" s="104" t="n">
        <x:v>0.1368421053</x:v>
      </x:c>
      <x:c r="G20" s="104" t="n">
        <x:v>0.1684210526</x:v>
      </x:c>
      <x:c r="H20" s="30" t="n">
        <x:v>64</x:v>
      </x:c>
      <x:c r="I20" s="25" t="str">
        <x:f>IF(AND(C20&gt;=100,F20&gt;'KPI Inputs'!$B$10,G20&gt;'KPI Inputs'!$B$12),"Investigate","Monitor")</x:f>
        <x:v>Investigate</x:v>
      </x:c>
    </x:row>
    <x:row r="21" ht="15" hidden="0" customHeight="1">
      <x:c r="A21" s="25" t="str">
        <x:v>1ca7077d890b907f89be8c954a02686a</x:v>
      </x:c>
      <x:c r="B21" s="25" t="str">
        <x:v>SP</x:v>
      </x:c>
      <x:c r="C21" s="30" t="n">
        <x:v>108</x:v>
      </x:c>
      <x:c r="D21" s="112" t="n">
        <x:v>12474.64</x:v>
      </x:c>
      <x:c r="E21" s="28" t="n">
        <x:v>2.3925233645</x:v>
      </x:c>
      <x:c r="F21" s="104" t="n">
        <x:v>0.1666666667</x:v>
      </x:c>
      <x:c r="G21" s="104" t="n">
        <x:v>0.5925925926</x:v>
      </x:c>
      <x:c r="H21" s="30" t="n">
        <x:v>64</x:v>
      </x:c>
      <x:c r="I21" s="25" t="str">
        <x:f>IF(AND(C21&gt;=100,F21&gt;'KPI Inputs'!$B$10,G21&gt;'KPI Inputs'!$B$12),"Investigate","Monitor")</x:f>
        <x:v>Investigate</x:v>
      </x:c>
    </x:row>
    <x:row r="22" ht="15" hidden="0" customHeight="1">
      <x:c r="A22" s="25" t="str">
        <x:v>06a2c3af7b3aee5d69171b0e14f0ee87</x:v>
      </x:c>
      <x:c r="B22" s="25" t="str">
        <x:v>MA</x:v>
      </x:c>
      <x:c r="C22" s="30" t="n">
        <x:v>389</x:v>
      </x:c>
      <x:c r="D22" s="112" t="n">
        <x:v>36097.98</x:v>
      </x:c>
      <x:c r="E22" s="28" t="n">
        <x:v>4.012987013</x:v>
      </x:c>
      <x:c r="F22" s="104" t="n">
        <x:v>0.1902313625</x:v>
      </x:c>
      <x:c r="G22" s="104" t="n">
        <x:v>0.1593830334</x:v>
      </x:c>
      <x:c r="H22" s="30" t="n">
        <x:v>62</x:v>
      </x:c>
      <x:c r="I22" s="25" t="str">
        <x:f>IF(AND(C22&gt;=100,F22&gt;'KPI Inputs'!$B$10,G22&gt;'KPI Inputs'!$B$12),"Investigate","Monitor")</x:f>
        <x:v>Investigate</x:v>
      </x:c>
    </x:row>
    <x:row r="23" ht="15" hidden="0" customHeight="1">
      <x:c r="A23" s="25" t="str">
        <x:v>70a12e78e608ac31179aea7f8422044b</x:v>
      </x:c>
      <x:c r="B23" s="25" t="str">
        <x:v>SP</x:v>
      </x:c>
      <x:c r="C23" s="30" t="n">
        <x:v>312</x:v>
      </x:c>
      <x:c r="D23" s="112" t="n">
        <x:v>29963.53</x:v>
      </x:c>
      <x:c r="E23" s="28" t="n">
        <x:v>3.8129032258</x:v>
      </x:c>
      <x:c r="F23" s="104" t="n">
        <x:v>0.0929487179</x:v>
      </x:c>
      <x:c r="G23" s="104" t="n">
        <x:v>0.1955128205</x:v>
      </x:c>
      <x:c r="H23" s="30" t="n">
        <x:v>61</x:v>
      </x:c>
      <x:c r="I23" s="25" t="str">
        <x:f>IF(AND(C23&gt;=100,F23&gt;'KPI Inputs'!$B$10,G23&gt;'KPI Inputs'!$B$12),"Investigate","Monitor")</x:f>
        <x:v>Investigate</x:v>
      </x:c>
    </x:row>
    <x:row r="24" ht="15" hidden="0" customHeight="1">
      <x:c r="A24" s="25" t="str">
        <x:v>855668e0971d4dfd7bef1b6a4133b41b</x:v>
      </x:c>
      <x:c r="B24" s="25" t="str">
        <x:v>SP</x:v>
      </x:c>
      <x:c r="C24" s="30" t="n">
        <x:v>300</x:v>
      </x:c>
      <x:c r="D24" s="112" t="n">
        <x:v>30849.22</x:v>
      </x:c>
      <x:c r="E24" s="28" t="n">
        <x:v>3.8547297297</x:v>
      </x:c>
      <x:c r="F24" s="104" t="n">
        <x:v>0.1266666667</x:v>
      </x:c>
      <x:c r="G24" s="104" t="n">
        <x:v>0.2033333333</x:v>
      </x:c>
      <x:c r="H24" s="30" t="n">
        <x:v>61</x:v>
      </x:c>
      <x:c r="I24" s="25" t="str">
        <x:f>IF(AND(C24&gt;=100,F24&gt;'KPI Inputs'!$B$10,G24&gt;'KPI Inputs'!$B$12),"Investigate","Monitor")</x:f>
        <x:v>Investigate</x:v>
      </x:c>
    </x:row>
    <x:row r="25" ht="15" hidden="0" customHeight="1">
      <x:c r="A25" s="25" t="str">
        <x:v>7040e82f899a04d1b434b795a43b4617</x:v>
      </x:c>
      <x:c r="B25" s="25" t="str">
        <x:v>SP</x:v>
      </x:c>
      <x:c r="C25" s="30" t="n">
        <x:v>208</x:v>
      </x:c>
      <x:c r="D25" s="112" t="n">
        <x:v>9213.7</x:v>
      </x:c>
      <x:c r="E25" s="28" t="n">
        <x:v>3.6504854369</x:v>
      </x:c>
      <x:c r="F25" s="104" t="n">
        <x:v>0.0769230769</x:v>
      </x:c>
      <x:c r="G25" s="104" t="n">
        <x:v>0.2548076923</x:v>
      </x:c>
      <x:c r="H25" s="30" t="n">
        <x:v>53</x:v>
      </x:c>
      <x:c r="I25" s="25" t="str">
        <x:f>IF(AND(C25&gt;=100,F25&gt;'KPI Inputs'!$B$10,G25&gt;'KPI Inputs'!$B$12),"Investigate","Monitor")</x:f>
        <x:v>Investigate</x:v>
      </x:c>
    </x:row>
    <x:row r="26" ht="15" hidden="0" customHeight="1">
      <x:c r="A26" s="25" t="str">
        <x:v>16090f2ca825584b5a147ab24aa30c86</x:v>
      </x:c>
      <x:c r="B26" s="25" t="str">
        <x:v>SP</x:v>
      </x:c>
      <x:c r="C26" s="30" t="n">
        <x:v>398</x:v>
      </x:c>
      <x:c r="D26" s="112" t="n">
        <x:v>25579.16</x:v>
      </x:c>
      <x:c r="E26" s="28" t="n">
        <x:v>4.0883838384</x:v>
      </x:c>
      <x:c r="F26" s="104" t="n">
        <x:v>0.0804020101</x:v>
      </x:c>
      <x:c r="G26" s="104" t="n">
        <x:v>0.1306532663</x:v>
      </x:c>
      <x:c r="H26" s="30" t="n">
        <x:v>52</x:v>
      </x:c>
      <x:c r="I26" s="25" t="str">
        <x:f>IF(AND(C26&gt;=100,F26&gt;'KPI Inputs'!$B$10,G26&gt;'KPI Inputs'!$B$12),"Investigate","Monitor")</x:f>
        <x:v>Investigate</x:v>
      </x:c>
    </x:row>
    <x:row r="27" ht="15" hidden="0" customHeight="1">
      <x:c r="A27" s="25" t="str">
        <x:v>ef506c96320abeedfb894c34db06f478</x:v>
      </x:c>
      <x:c r="B27" s="25" t="str">
        <x:v>SP</x:v>
      </x:c>
      <x:c r="C27" s="30" t="n">
        <x:v>316</x:v>
      </x:c>
      <x:c r="D27" s="112" t="n">
        <x:v>9556.5</x:v>
      </x:c>
      <x:c r="E27" s="28" t="n">
        <x:v>3.9617834395</x:v>
      </x:c>
      <x:c r="F27" s="104" t="n">
        <x:v>0.0791139241</x:v>
      </x:c>
      <x:c r="G27" s="104" t="n">
        <x:v>0.1613924051</x:v>
      </x:c>
      <x:c r="H27" s="30" t="n">
        <x:v>51</x:v>
      </x:c>
      <x:c r="I27" s="25" t="str">
        <x:f>IF(AND(C27&gt;=100,F27&gt;'KPI Inputs'!$B$10,G27&gt;'KPI Inputs'!$B$12),"Investigate","Monitor")</x:f>
        <x:v>Investigate</x:v>
      </x:c>
    </x:row>
    <x:row r="28" ht="15" hidden="0" customHeight="1">
      <x:c r="A28" s="25" t="str">
        <x:v>c826c40d7b19f62a09e2d7c5e7295ee2</x:v>
      </x:c>
      <x:c r="B28" s="25" t="str">
        <x:v>SP</x:v>
      </x:c>
      <x:c r="C28" s="30" t="n">
        <x:v>346</x:v>
      </x:c>
      <x:c r="D28" s="112" t="n">
        <x:v>44653.04</x:v>
      </x:c>
      <x:c r="E28" s="28" t="n">
        <x:v>4.1304347826</x:v>
      </x:c>
      <x:c r="F28" s="104" t="n">
        <x:v>0.0751445087</x:v>
      </x:c>
      <x:c r="G28" s="104" t="n">
        <x:v>0.1416184971</x:v>
      </x:c>
      <x:c r="H28" s="30" t="n">
        <x:v>49</x:v>
      </x:c>
      <x:c r="I28" s="25" t="str">
        <x:f>IF(AND(C28&gt;=100,F28&gt;'KPI Inputs'!$B$10,G28&gt;'KPI Inputs'!$B$12),"Investigate","Monitor")</x:f>
        <x:v>Investigate</x:v>
      </x:c>
    </x:row>
    <x:row r="29" ht="15" hidden="0" customHeight="1">
      <x:c r="A29" s="25" t="str">
        <x:v>7ddcbb64b5bc1ef36ca8c151f6ec77df</x:v>
      </x:c>
      <x:c r="B29" s="25" t="str">
        <x:v>SP</x:v>
      </x:c>
      <x:c r="C29" s="30" t="n">
        <x:v>325</x:v>
      </x:c>
      <x:c r="D29" s="112" t="n">
        <x:v>54435.66</x:v>
      </x:c>
      <x:c r="E29" s="28" t="n">
        <x:v>4.0279503106</x:v>
      </x:c>
      <x:c r="F29" s="104" t="n">
        <x:v>0.0830769231</x:v>
      </x:c>
      <x:c r="G29" s="104" t="n">
        <x:v>0.1507692308</x:v>
      </x:c>
      <x:c r="H29" s="30" t="n">
        <x:v>49</x:v>
      </x:c>
      <x:c r="I29" s="25" t="str">
        <x:f>IF(AND(C29&gt;=100,F29&gt;'KPI Inputs'!$B$10,G29&gt;'KPI Inputs'!$B$12),"Investigate","Monitor")</x:f>
        <x:v>Investigate</x:v>
      </x:c>
    </x:row>
    <x:row r="30"/>
    <x:row r="31"/>
    <x:row r="32">
      <x:c r="A32" s="110" t="str">
        <x:v>Interpretation: 58 of 210 sellers with at least 100 delivered orders exceed both portfolio benchmarks (6.8% late rate and 12.7% low-review rate). The screen ranks investigation targets; multi-seller orders mean it does not assign sole responsibility.</x:v>
      </x:c>
      <x:c r="B32" s="110"/>
      <x:c r="C32" s="110"/>
      <x:c r="D32" s="110"/>
      <x:c r="E32" s="110"/>
      <x:c r="F32" s="110"/>
      <x:c r="G32" s="110"/>
      <x:c r="H32" s="110"/>
      <x:c r="I32" s="110"/>
    </x:row>
    <x:row r="33">
      <x:c r="A33" s="110"/>
      <x:c r="B33" s="110"/>
      <x:c r="C33" s="110"/>
      <x:c r="D33" s="110"/>
      <x:c r="E33" s="110"/>
      <x:c r="F33" s="110"/>
      <x:c r="G33" s="110"/>
      <x:c r="H33" s="110"/>
      <x:c r="I33" s="110"/>
    </x:row>
    <x:row r="34">
      <x:c r="A34" s="110"/>
      <x:c r="B34" s="110"/>
      <x:c r="C34" s="110"/>
      <x:c r="D34" s="110"/>
      <x:c r="E34" s="110"/>
      <x:c r="F34" s="110"/>
      <x:c r="G34" s="110"/>
      <x:c r="H34" s="110"/>
      <x:c r="I34" s="110"/>
    </x:row>
  </x:sheetData>
  <x:mergeCells>
    <x:mergeCell ref="A1:I1"/>
    <x:mergeCell ref="A2:I2"/>
    <x:mergeCell ref="A32:I34"/>
  </x:mergeCells>
  <x:conditionalFormatting sqref="F5:G29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I5:I29">
    <x:cfRule type="containsText" dxfId="1" priority="2" operator="containsText" text="Investiga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1.600000381469727" hidden="0" customHeight="1">
      <x:c r="A1" s="3" t="str">
        <x:v>Monthly Growth and Service Trend</x:v>
      </x:c>
      <x:c r="B1" s="3"/>
      <x:c r="C1" s="3"/>
      <x:c r="D1" s="3"/>
      <x:c r="E1" s="3"/>
      <x:c r="F1" s="3"/>
    </x:row>
    <x:row r="2" ht="15" hidden="0" customHeight="1">
      <x:c r="A2" s="6" t="str">
        <x:v>Complete months only: Jan 2017-Aug 2018</x:v>
      </x:c>
      <x:c r="B2" s="6"/>
      <x:c r="C2" s="6"/>
      <x:c r="D2" s="6"/>
      <x:c r="E2" s="6"/>
      <x:c r="F2" s="6"/>
    </x:row>
    <x:row r="3"/>
    <x:row r="4" ht="15" hidden="0" customHeight="1">
      <x:c r="A4" s="18" t="str">
        <x:v>Month</x:v>
      </x:c>
      <x:c r="B4" s="19" t="str">
        <x:v>GMV (BRL)</x:v>
      </x:c>
      <x:c r="C4" s="19" t="str">
        <x:v>Orders</x:v>
      </x:c>
      <x:c r="D4" s="19" t="str">
        <x:v>Average order GMV</x:v>
      </x:c>
      <x:c r="E4" s="19" t="str">
        <x:v>Late rate</x:v>
      </x:c>
      <x:c r="F4" s="20" t="str">
        <x:v>Average review</x:v>
      </x:c>
    </x:row>
    <x:row r="5" ht="15" hidden="0" customHeight="1">
      <x:c r="A5" s="24" t="str">
        <x:v>2017-01</x:v>
      </x:c>
      <x:c r="B5" s="111" t="n">
        <x:v>111798.36</x:v>
      </x:c>
      <x:c r="C5" s="26" t="n">
        <x:v>750</x:v>
      </x:c>
      <x:c r="D5" s="111" t="n">
        <x:v>149.06448</x:v>
      </x:c>
      <x:c r="E5" s="103" t="n">
        <x:v>0.029333333333333333</x:v>
      </x:c>
      <x:c r="F5" s="102" t="n">
        <x:v>4.198380566801619</x:v>
      </x:c>
    </x:row>
    <x:row r="6" ht="15" hidden="0" customHeight="1">
      <x:c r="A6" s="25" t="str">
        <x:v>2017-02</x:v>
      </x:c>
      <x:c r="B6" s="112" t="n">
        <x:v>234223.4</x:v>
      </x:c>
      <x:c r="C6" s="30" t="n">
        <x:v>1653</x:v>
      </x:c>
      <x:c r="D6" s="112" t="n">
        <x:v>141.69594676346037</x:v>
      </x:c>
      <x:c r="E6" s="104" t="n">
        <x:v>0.029643073200241985</x:v>
      </x:c>
      <x:c r="F6" s="28" t="n">
        <x:v>4.203286670724284</x:v>
      </x:c>
    </x:row>
    <x:row r="7" ht="15" hidden="0" customHeight="1">
      <x:c r="A7" s="25" t="str">
        <x:v>2017-03</x:v>
      </x:c>
      <x:c r="B7" s="112" t="n">
        <x:v>359198.85</x:v>
      </x:c>
      <x:c r="C7" s="30" t="n">
        <x:v>2546</x:v>
      </x:c>
      <x:c r="D7" s="112" t="n">
        <x:v>141.0836017282011</x:v>
      </x:c>
      <x:c r="E7" s="104" t="n">
        <x:v>0.04556166535742341</x:v>
      </x:c>
      <x:c r="F7" s="28" t="n">
        <x:v>4.186782746339533</x:v>
      </x:c>
    </x:row>
    <x:row r="8" ht="15" hidden="0" customHeight="1">
      <x:c r="A8" s="25" t="str">
        <x:v>2017-04</x:v>
      </x:c>
      <x:c r="B8" s="112" t="n">
        <x:v>340669.68</x:v>
      </x:c>
      <x:c r="C8" s="30" t="n">
        <x:v>2303</x:v>
      </x:c>
      <x:c r="D8" s="112" t="n">
        <x:v>147.9243074250977</x:v>
      </x:c>
      <x:c r="E8" s="104" t="n">
        <x:v>0.06556665219279201</x:v>
      </x:c>
      <x:c r="F8" s="28" t="n">
        <x:v>4.135371179039302</x:v>
      </x:c>
    </x:row>
    <x:row r="9" ht="15" hidden="0" customHeight="1">
      <x:c r="A9" s="25" t="str">
        <x:v>2017-05</x:v>
      </x:c>
      <x:c r="B9" s="112" t="n">
        <x:v>489159.25</x:v>
      </x:c>
      <x:c r="C9" s="30" t="n">
        <x:v>3545</x:v>
      </x:c>
      <x:c r="D9" s="112" t="n">
        <x:v>137.98568406205925</x:v>
      </x:c>
      <x:c r="E9" s="104" t="n">
        <x:v>0.029901269393511988</x:v>
      </x:c>
      <x:c r="F9" s="28" t="n">
        <x:v>4.236280921239693</x:v>
      </x:c>
    </x:row>
    <x:row r="10" ht="15" hidden="0" customHeight="1">
      <x:c r="A10" s="25" t="str">
        <x:v>2017-06</x:v>
      </x:c>
      <x:c r="B10" s="112" t="n">
        <x:v>421923.37</x:v>
      </x:c>
      <x:c r="C10" s="30" t="n">
        <x:v>3135</x:v>
      </x:c>
      <x:c r="D10" s="112" t="n">
        <x:v>134.58480701754385</x:v>
      </x:c>
      <x:c r="E10" s="104" t="n">
        <x:v>0.030303030303030304</x:v>
      </x:c>
      <x:c r="F10" s="28" t="n">
        <x:v>4.222757955641273</x:v>
      </x:c>
    </x:row>
    <x:row r="11" ht="15" hidden="0" customHeight="1">
      <x:c r="A11" s="25" t="str">
        <x:v>2017-07</x:v>
      </x:c>
      <x:c r="B11" s="112" t="n">
        <x:v>481604.52</x:v>
      </x:c>
      <x:c r="C11" s="30" t="n">
        <x:v>3872</x:v>
      </x:c>
      <x:c r="D11" s="112" t="n">
        <x:v>124.3813326446281</x:v>
      </x:c>
      <x:c r="E11" s="104" t="n">
        <x:v>0.027892561983471075</x:v>
      </x:c>
      <x:c r="F11" s="28" t="n">
        <x:v>4.259500260281103</x:v>
      </x:c>
    </x:row>
    <x:row r="12" ht="15" hidden="0" customHeight="1">
      <x:c r="A12" s="25" t="str">
        <x:v>2017-08</x:v>
      </x:c>
      <x:c r="B12" s="112" t="n">
        <x:v>554699.7</x:v>
      </x:c>
      <x:c r="C12" s="30" t="n">
        <x:v>4193</x:v>
      </x:c>
      <x:c r="D12" s="112" t="n">
        <x:v>132.29184354877174</x:v>
      </x:c>
      <x:c r="E12" s="104" t="n">
        <x:v>0.02909611256856666</x:v>
      </x:c>
      <x:c r="F12" s="28" t="n">
        <x:v>4.312845138055222</x:v>
      </x:c>
    </x:row>
    <x:row r="13" ht="15" hidden="0" customHeight="1">
      <x:c r="A13" s="25" t="str">
        <x:v>2017-09</x:v>
      </x:c>
      <x:c r="B13" s="112" t="n">
        <x:v>607399.67</x:v>
      </x:c>
      <x:c r="C13" s="30" t="n">
        <x:v>4150</x:v>
      </x:c>
      <x:c r="D13" s="112" t="n">
        <x:v>146.36136626506024</x:v>
      </x:c>
      <x:c r="E13" s="104" t="n">
        <x:v>0.04385542168674699</x:v>
      </x:c>
      <x:c r="F13" s="28" t="n">
        <x:v>4.267848470131131</x:v>
      </x:c>
    </x:row>
    <x:row r="14" ht="15" hidden="0" customHeight="1">
      <x:c r="A14" s="25" t="str">
        <x:v>2017-10</x:v>
      </x:c>
      <x:c r="B14" s="112" t="n">
        <x:v>648247.65</x:v>
      </x:c>
      <x:c r="C14" s="30" t="n">
        <x:v>4478</x:v>
      </x:c>
      <x:c r="D14" s="112" t="n">
        <x:v>144.76276239392587</x:v>
      </x:c>
      <x:c r="E14" s="104" t="n">
        <x:v>0.041759714158106295</x:v>
      </x:c>
      <x:c r="F14" s="28" t="n">
        <x:v>4.204903283850652</x:v>
      </x:c>
    </x:row>
    <x:row r="15" ht="15" hidden="0" customHeight="1">
      <x:c r="A15" s="25" t="str">
        <x:v>2017-11</x:v>
      </x:c>
      <x:c r="B15" s="112" t="n">
        <x:v>987648.07</x:v>
      </x:c>
      <x:c r="C15" s="30" t="n">
        <x:v>7288</x:v>
      </x:c>
      <x:c r="D15" s="112" t="n">
        <x:v>135.5170238748628</x:v>
      </x:c>
      <x:c r="E15" s="104" t="n">
        <x:v>0.12403951701427003</x:v>
      </x:c>
      <x:c r="F15" s="28" t="n">
        <x:v>3.9888075169269035</x:v>
      </x:c>
    </x:row>
    <x:row r="16" ht="15" hidden="0" customHeight="1">
      <x:c r="A16" s="25" t="str">
        <x:v>2017-12</x:v>
      </x:c>
      <x:c r="B16" s="112" t="n">
        <x:v>726033.1900000001</x:v>
      </x:c>
      <x:c r="C16" s="30" t="n">
        <x:v>5513</x:v>
      </x:c>
      <x:c r="D16" s="112" t="n">
        <x:v>131.694756031199</x:v>
      </x:c>
      <x:c r="E16" s="104" t="n">
        <x:v>0.07455106112824234</x:v>
      </x:c>
      <x:c r="F16" s="28" t="n">
        <x:v>4.088445339681377</x:v>
      </x:c>
    </x:row>
    <x:row r="17" ht="15" hidden="0" customHeight="1">
      <x:c r="A17" s="25" t="str">
        <x:v>2018-01</x:v>
      </x:c>
      <x:c r="B17" s="112" t="n">
        <x:v>924645</x:v>
      </x:c>
      <x:c r="C17" s="30" t="n">
        <x:v>7069</x:v>
      </x:c>
      <x:c r="D17" s="112" t="n">
        <x:v>130.80280096194653</x:v>
      </x:c>
      <x:c r="E17" s="104" t="n">
        <x:v>0.05700947800254633</x:v>
      </x:c>
      <x:c r="F17" s="28" t="n">
        <x:v>4.108512762013404</x:v>
      </x:c>
    </x:row>
    <x:row r="18" ht="15" hidden="0" customHeight="1">
      <x:c r="A18" s="25" t="str">
        <x:v>2018-02</x:v>
      </x:c>
      <x:c r="B18" s="112" t="n">
        <x:v>826437.13</x:v>
      </x:c>
      <x:c r="C18" s="30" t="n">
        <x:v>6555</x:v>
      </x:c>
      <x:c r="D18" s="112" t="n">
        <x:v>126.0773653699466</x:v>
      </x:c>
      <x:c r="E18" s="104" t="n">
        <x:v>0.14126620900076278</x:v>
      </x:c>
      <x:c r="F18" s="28" t="n">
        <x:v>3.880590133702167</x:v>
      </x:c>
    </x:row>
    <x:row r="19" ht="15" hidden="0" customHeight="1">
      <x:c r="A19" s="25" t="str">
        <x:v>2018-03</x:v>
      </x:c>
      <x:c r="B19" s="112" t="n">
        <x:v>953356.25</x:v>
      </x:c>
      <x:c r="C19" s="30" t="n">
        <x:v>7003</x:v>
      </x:c>
      <x:c r="D19" s="112" t="n">
        <x:v>136.13540625446237</x:v>
      </x:c>
      <x:c r="E19" s="104" t="n">
        <x:v>0.18963301442239042</x:v>
      </x:c>
      <x:c r="F19" s="28" t="n">
        <x:v>3.812607944732297</x:v>
      </x:c>
    </x:row>
    <x:row r="20" ht="15" hidden="0" customHeight="1">
      <x:c r="A20" s="25" t="str">
        <x:v>2018-04</x:v>
      </x:c>
      <x:c r="B20" s="112" t="n">
        <x:v>973534.09</x:v>
      </x:c>
      <x:c r="C20" s="30" t="n">
        <x:v>6798</x:v>
      </x:c>
      <x:c r="D20" s="112" t="n">
        <x:v>143.2088982053545</x:v>
      </x:c>
      <x:c r="E20" s="104" t="n">
        <x:v>0.04501323918799647</x:v>
      </x:c>
      <x:c r="F20" s="28" t="n">
        <x:v>4.205864928909953</x:v>
      </x:c>
    </x:row>
    <x:row r="21" ht="15" hidden="0" customHeight="1">
      <x:c r="A21" s="25" t="str">
        <x:v>2018-05</x:v>
      </x:c>
      <x:c r="B21" s="112" t="n">
        <x:v>977544.6900000001</x:v>
      </x:c>
      <x:c r="C21" s="30" t="n">
        <x:v>6749</x:v>
      </x:c>
      <x:c r="D21" s="112" t="n">
        <x:v>144.84289376203884</x:v>
      </x:c>
      <x:c r="E21" s="104" t="n">
        <x:v>0.06563935397836716</x:v>
      </x:c>
      <x:c r="F21" s="28" t="n">
        <x:v>4.236387979767926</x:v>
      </x:c>
    </x:row>
    <x:row r="22" ht="15" hidden="0" customHeight="1">
      <x:c r="A22" s="25" t="str">
        <x:v>2018-06</x:v>
      </x:c>
      <x:c r="B22" s="112" t="n">
        <x:v>855591.97</x:v>
      </x:c>
      <x:c r="C22" s="30" t="n">
        <x:v>6096</x:v>
      </x:c>
      <x:c r="D22" s="112" t="n">
        <x:v>140.35301345144356</x:v>
      </x:c>
      <x:c r="E22" s="104" t="n">
        <x:v>0.011646981627296589</x:v>
      </x:c>
      <x:c r="F22" s="28" t="n">
        <x:v>4.307312252964427</x:v>
      </x:c>
    </x:row>
    <x:row r="23" ht="15" hidden="0" customHeight="1">
      <x:c r="A23" s="25" t="str">
        <x:v>2018-07</x:v>
      </x:c>
      <x:c r="B23" s="112" t="n">
        <x:v>867486.47</x:v>
      </x:c>
      <x:c r="C23" s="30" t="n">
        <x:v>6156</x:v>
      </x:c>
      <x:c r="D23" s="112" t="n">
        <x:v>140.91723034437948</x:v>
      </x:c>
      <x:c r="E23" s="104" t="n">
        <x:v>0.03378817413905133</x:v>
      </x:c>
      <x:c r="F23" s="28" t="n">
        <x:v>4.317423994769532</x:v>
      </x:c>
    </x:row>
    <x:row r="24" ht="15" hidden="0" customHeight="1">
      <x:c r="A24" s="25" t="str">
        <x:v>2018-08</x:v>
      </x:c>
      <x:c r="B24" s="112" t="n">
        <x:v>838576.64</x:v>
      </x:c>
      <x:c r="C24" s="30" t="n">
        <x:v>6351</x:v>
      </x:c>
      <x:c r="D24" s="112" t="n">
        <x:v>132.03851991812314</x:v>
      </x:c>
      <x:c r="E24" s="104" t="n">
        <x:v>0.061880018894662256</x:v>
      </x:c>
      <x:c r="F24" s="28" t="n">
        <x:v>4.310268562401264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cf45127cee3942c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.600000381469727" hidden="0" customHeight="1">
      <x:c r="A1" s="3" t="str">
        <x:v>Methodology and Data Dictionary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Reproducible definitions for interview defence and audit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94" t="str">
        <x:v>Hypotheses tested</x:v>
      </x:c>
      <x:c r="B4" s="94"/>
      <x:c r="C4" s="94"/>
      <x:c r="D4" s="94"/>
      <x:c r="E4" s="94"/>
      <x:c r="F4" s="94"/>
      <x:c r="G4" s="94"/>
      <x:c r="H4" s="94"/>
    </x:row>
    <x:row r="5" ht="15" hidden="0" customHeight="1">
      <x:c r="A5" s="127" t="str">
        <x:v>H1</x:v>
      </x:c>
      <x:c r="B5" s="31" t="str">
        <x:v>Delivery delays are associated with materially weaker reviews.</x:v>
      </x:c>
      <x:c r="C5" s="31"/>
      <x:c r="D5" s="31"/>
      <x:c r="E5" s="31"/>
      <x:c r="F5" s="31"/>
      <x:c r="G5" s="31"/>
      <x:c r="H5" s="31"/>
    </x:row>
    <x:row r="6" ht="15" hidden="0" customHeight="1">
      <x:c r="A6" s="128" t="str">
        <x:v>H2</x:v>
      </x:c>
      <x:c r="B6" s="33" t="str">
        <x:v>Some states experience both higher freight burden and poorer delivery outcomes.</x:v>
      </x:c>
      <x:c r="C6" s="33"/>
      <x:c r="D6" s="33"/>
      <x:c r="E6" s="33"/>
      <x:c r="F6" s="33"/>
      <x:c r="G6" s="33"/>
      <x:c r="H6" s="33"/>
    </x:row>
    <x:row r="7" ht="15" hidden="0" customHeight="1">
      <x:c r="A7" s="128" t="str">
        <x:v>H3</x:v>
      </x:c>
      <x:c r="B7" s="33" t="str">
        <x:v>High-GMV categories with below-average satisfaction are priority intervention areas.</x:v>
      </x:c>
      <x:c r="C7" s="33"/>
      <x:c r="D7" s="33"/>
      <x:c r="E7" s="33"/>
      <x:c r="F7" s="33"/>
      <x:c r="G7" s="33"/>
      <x:c r="H7" s="33"/>
    </x:row>
    <x:row r="8" ht="15" hidden="0" customHeight="1">
      <x:c r="A8" s="128" t="str">
        <x:v>H4</x:v>
      </x:c>
      <x:c r="B8" s="33" t="str">
        <x:v>Repeat purchase is limited within the available observation window.</x:v>
      </x:c>
      <x:c r="C8" s="33"/>
      <x:c r="D8" s="33"/>
      <x:c r="E8" s="33"/>
      <x:c r="F8" s="33"/>
      <x:c r="G8" s="33"/>
      <x:c r="H8" s="33"/>
    </x:row>
    <x:row r="9" ht="15" hidden="0" customHeight="1">
      <x:c r="A9" s="129"/>
      <x:c r="B9" s="129"/>
      <x:c r="C9" s="129"/>
      <x:c r="D9" s="129"/>
      <x:c r="E9" s="129"/>
      <x:c r="F9" s="129"/>
      <x:c r="G9" s="129"/>
      <x:c r="H9" s="129"/>
    </x:row>
    <x:row r="10" ht="15" hidden="0" customHeight="1">
      <x:c r="A10" s="130" t="str">
        <x:v>Key definitions</x:v>
      </x:c>
      <x:c r="B10" s="130"/>
      <x:c r="C10" s="130"/>
      <x:c r="D10" s="130"/>
      <x:c r="E10" s="130"/>
      <x:c r="F10" s="130"/>
      <x:c r="G10" s="130"/>
      <x:c r="H10" s="130"/>
    </x:row>
    <x:row r="11" ht="15" hidden="0" customHeight="1">
      <x:c r="A11" s="131" t="str">
        <x:v>Merchandise GMV</x:v>
      </x:c>
      <x:c r="B11" s="31" t="str">
        <x:v>Sum of order-item price; explicitly not company revenue or profit.</x:v>
      </x:c>
      <x:c r="C11" s="31"/>
      <x:c r="D11" s="31"/>
      <x:c r="E11" s="31"/>
      <x:c r="F11" s="31"/>
      <x:c r="G11" s="31"/>
      <x:c r="H11" s="31"/>
    </x:row>
    <x:row r="12" ht="15" hidden="0" customHeight="1">
      <x:c r="A12" s="132" t="str">
        <x:v>Late delivery</x:v>
      </x:c>
      <x:c r="B12" s="33" t="str">
        <x:v>Actual customer delivery date is after the estimated delivery calendar date.</x:v>
      </x:c>
      <x:c r="C12" s="33"/>
      <x:c r="D12" s="33"/>
      <x:c r="E12" s="33"/>
      <x:c r="F12" s="33"/>
      <x:c r="G12" s="33"/>
      <x:c r="H12" s="33"/>
    </x:row>
    <x:row r="13" ht="15" hidden="0" customHeight="1">
      <x:c r="A13" s="132" t="str">
        <x:v>Latest review</x:v>
      </x:c>
      <x:c r="B13" s="33" t="str">
        <x:v>Where an order has multiple reviews, the most recently answered review is retained.</x:v>
      </x:c>
      <x:c r="C13" s="33"/>
      <x:c r="D13" s="33"/>
      <x:c r="E13" s="33"/>
      <x:c r="F13" s="33"/>
      <x:c r="G13" s="33"/>
      <x:c r="H13" s="33"/>
    </x:row>
    <x:row r="14" ht="15" hidden="0" customHeight="1">
      <x:c r="A14" s="132" t="str">
        <x:v>Low review</x:v>
      </x:c>
      <x:c r="B14" s="33" t="str">
        <x:v>Review score of 1 or 2 out of 5.</x:v>
      </x:c>
      <x:c r="C14" s="33"/>
      <x:c r="D14" s="33"/>
      <x:c r="E14" s="33"/>
      <x:c r="F14" s="33"/>
      <x:c r="G14" s="33"/>
      <x:c r="H14" s="33"/>
    </x:row>
    <x:row r="15" ht="15" hidden="0" customHeight="1">
      <x:c r="A15" s="132" t="str">
        <x:v>Repeat customer</x:v>
      </x:c>
      <x:c r="B15" s="33" t="str">
        <x:v>A customer_unique_id with more than one delivered order in the dataset window.</x:v>
      </x:c>
      <x:c r="C15" s="33"/>
      <x:c r="D15" s="33"/>
      <x:c r="E15" s="33"/>
      <x:c r="F15" s="33"/>
      <x:c r="G15" s="33"/>
      <x:c r="H15" s="33"/>
    </x:row>
    <x:row r="16" ht="15" hidden="0" customHeight="1">
      <x:c r="A16" s="132" t="str">
        <x:v>Category order</x:v>
      </x:c>
      <x:c r="B16" s="33" t="str">
        <x:v>One order-category combination; multi-category orders can appear under more than one category.</x:v>
      </x:c>
      <x:c r="C16" s="33"/>
      <x:c r="D16" s="33"/>
      <x:c r="E16" s="33"/>
      <x:c r="F16" s="33"/>
      <x:c r="G16" s="33"/>
      <x:c r="H16" s="33"/>
    </x:row>
    <x:row r="17" ht="15" hidden="0" customHeight="1">
      <x:c r="A17" s="132" t="str">
        <x:v>Seller screen</x:v>
      </x:c>
      <x:c r="B17" s="33" t="str">
        <x:v>At least 100 delivered orders plus delay and low-review rates above the overall portfolio benchmarks.</x:v>
      </x:c>
      <x:c r="C17" s="33"/>
      <x:c r="D17" s="33"/>
      <x:c r="E17" s="33"/>
      <x:c r="F17" s="33"/>
      <x:c r="G17" s="33"/>
      <x:c r="H17" s="33"/>
    </x:row>
    <x:row r="18" ht="15" hidden="0" customHeight="1">
      <x:c r="A18" s="130" t="str">
        <x:v>Caveats and source</x:v>
      </x:c>
      <x:c r="B18" s="130"/>
      <x:c r="C18" s="130"/>
      <x:c r="D18" s="130"/>
      <x:c r="E18" s="130"/>
      <x:c r="F18" s="130"/>
      <x:c r="G18" s="130"/>
      <x:c r="H18" s="130"/>
    </x:row>
    <x:row r="19" ht="15" hidden="0" customHeight="1">
      <x:c r="A19" s="133" t="str">
        <x:v>Coverage</x:v>
      </x:c>
      <x:c r="B19" s="31" t="str">
        <x:v>Analysis uses 96,470 delivered orders with item records. The date range is Sep 2016-Aug 2018; monthly trend excludes partial months.</x:v>
      </x:c>
      <x:c r="C19" s="31"/>
      <x:c r="D19" s="31"/>
      <x:c r="E19" s="31"/>
      <x:c r="F19" s="31"/>
      <x:c r="G19" s="31"/>
      <x:c r="H19" s="31"/>
    </x:row>
    <x:row r="20" ht="15" hidden="0" customHeight="1">
      <x:c r="A20" s="134" t="str">
        <x:v>Causality</x:v>
      </x:c>
      <x:c r="B20" s="33" t="str">
        <x:v>The analysis is observational and identifies prioritization signals, not causal effects.</x:v>
      </x:c>
      <x:c r="C20" s="33"/>
      <x:c r="D20" s="33"/>
      <x:c r="E20" s="33"/>
      <x:c r="F20" s="33"/>
      <x:c r="G20" s="33"/>
      <x:c r="H20" s="33"/>
    </x:row>
    <x:row r="21" ht="15" hidden="0" customHeight="1">
      <x:c r="A21" s="134" t="str">
        <x:v>Retention</x:v>
      </x:c>
      <x:c r="B21" s="33" t="str">
        <x:v>Repeat rate is bounded by the observation window and anonymized marketplace behavior.</x:v>
      </x:c>
      <x:c r="C21" s="33"/>
      <x:c r="D21" s="33"/>
      <x:c r="E21" s="33"/>
      <x:c r="F21" s="33"/>
      <x:c r="G21" s="33"/>
      <x:c r="H21" s="33"/>
    </x:row>
    <x:row r="22" ht="15" hidden="0" customHeight="1">
      <x:c r="A22" s="134" t="str">
        <x:v>Profitability</x:v>
      </x:c>
      <x:c r="B22" s="33" t="str">
        <x:v>The dataset lacks commission, cost and margin data; profitability is not estimated.</x:v>
      </x:c>
      <x:c r="C22" s="33"/>
      <x:c r="D22" s="33"/>
      <x:c r="E22" s="33"/>
      <x:c r="F22" s="33"/>
      <x:c r="G22" s="33"/>
      <x:c r="H22" s="33"/>
    </x:row>
    <x:row r="23" ht="15" hidden="0" customHeight="1">
      <x:c r="A23" s="134" t="str">
        <x:v>Seller attribution</x:v>
      </x:c>
      <x:c r="B23" s="33" t="str">
        <x:v>Multi-seller orders link the same customer outcome to each participating seller; the screen prioritizes investigation, not blame.</x:v>
      </x:c>
      <x:c r="C23" s="33"/>
      <x:c r="D23" s="33"/>
      <x:c r="E23" s="33"/>
      <x:c r="F23" s="33"/>
      <x:c r="G23" s="33"/>
      <x:c r="H23" s="33"/>
    </x:row>
    <x:row r="24" ht="15" hidden="0" customHeight="1">
      <x:c r="A24" s="134" t="str">
        <x:v>Source</x:v>
      </x:c>
      <x:c r="B24" s="33" t="str">
        <x:v>https://www.kaggle.com/datasets/olistbr/brazilian-ecommerce</x:v>
      </x:c>
      <x:c r="C24" s="33"/>
      <x:c r="D24" s="33"/>
      <x:c r="E24" s="33"/>
      <x:c r="F24" s="33"/>
      <x:c r="G24" s="33"/>
      <x:c r="H24" s="33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0:H10"/>
    <x:mergeCell ref="B11:H11"/>
    <x:mergeCell ref="B12:H12"/>
    <x:mergeCell ref="B13:H13"/>
    <x:mergeCell ref="B14:H14"/>
    <x:mergeCell ref="B15:H15"/>
    <x:mergeCell ref="B16:H16"/>
    <x:mergeCell ref="B17:H17"/>
    <x:mergeCell ref="A18:H18"/>
    <x:mergeCell ref="B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